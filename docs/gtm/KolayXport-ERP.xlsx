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46319</v>
      </c>
      <c r="E10" s="4" t="inlineStr">
        <is>
          <t>Waiting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Already created in Stripe at these amounts by d7; on Atilla's board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Create the Stripe partner coupon(s) and set STRIPE_PARTNER_COUPON_ID via stdin</t>
        </is>
      </c>
      <c r="C14" s="4" t="inlineStr">
        <is>
          <t>Atilla</t>
        </is>
      </c>
      <c r="D14" s="5" t="n">
        <v>46328</v>
      </c>
      <c r="E14" s="4" t="inlineStr">
        <is>
          <t>Not started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20% once on yearly / repeating 3 months on Aylık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Create GTM container + GA4 + Meta pixel IDs and set them in the Hetzner .env</t>
        </is>
      </c>
      <c r="C15" s="4" t="inlineStr">
        <is>
          <t>Atilla</t>
        </is>
      </c>
      <c r="D15" s="5" t="n">
        <v>46356</v>
      </c>
      <c r="E15" s="4" t="inlineStr">
        <is>
          <t>Not started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Phase 2 gate</t>
        </is>
      </c>
      <c r="J15" s="4">
        <f>IF(AND(D15&lt;&gt;"",D15&lt;TODAY(),E15&lt;&gt;"Done",E15&lt;&gt;"Cancelled"),"OVERDUE","")</f>
        <v/>
      </c>
    </row>
    <row r="16">
      <c r="A16" s="4" t="inlineStr">
        <is>
          <t>T11</t>
        </is>
      </c>
      <c r="B16" s="8" t="inlineStr">
        <is>
          <t>Enable Stripe Global Payouts on the Tamsar, Inc. account</t>
        </is>
      </c>
      <c r="C16" s="4" t="inlineStr">
        <is>
          <t>Atilla</t>
        </is>
      </c>
      <c r="D16" s="5" t="n">
        <v>46376</v>
      </c>
      <c r="E16" s="4" t="inlineStr">
        <is>
          <t>Not started</t>
        </is>
      </c>
      <c r="F16" s="4" t="inlineStr">
        <is>
          <t>P1</t>
        </is>
      </c>
      <c r="G16" s="4" t="inlineStr">
        <is>
          <t>https://dashboard.stripe.com</t>
        </is>
      </c>
      <c r="H16" s="4" t="inlineStr"/>
      <c r="I16" s="8" t="inlineStr">
        <is>
          <t>Before the first payout run (5 Jan)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T12</t>
        </is>
      </c>
      <c r="B17" s="8" t="inlineStr">
        <is>
          <t>Follow up Hepsiburada integrator ticket 1-404875606841365</t>
        </is>
      </c>
      <c r="C17" s="4" t="inlineStr">
        <is>
          <t>Atilla</t>
        </is>
      </c>
      <c r="D17" s="5" t="n">
        <v>46316</v>
      </c>
      <c r="E17" s="4" t="inlineStr">
        <is>
          <t>Waiting</t>
        </is>
      </c>
      <c r="F17" s="4" t="inlineStr">
        <is>
          <t>P1</t>
        </is>
      </c>
      <c r="G17" s="4" t="inlineStr"/>
      <c r="H17" s="4" t="inlineStr"/>
      <c r="I17" s="8" t="inlineStr">
        <is>
          <t>Planned close 21 Oct (Satıcı Paneli › Destek Kayıtlarım)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T13</t>
        </is>
      </c>
      <c r="B18" s="8" t="inlineStr">
        <is>
          <t>Hire a Bionluk freelancer for list-building (120 groups + 60 X/YouTube)</t>
        </is>
      </c>
      <c r="C18" s="4" t="inlineStr">
        <is>
          <t>Merisa</t>
        </is>
      </c>
      <c r="D18" s="5" t="n">
        <v>46322</v>
      </c>
      <c r="E18" s="4" t="inlineStr">
        <is>
          <t>Not started</t>
        </is>
      </c>
      <c r="F18" s="4" t="inlineStr">
        <is>
          <t>P0</t>
        </is>
      </c>
      <c r="G18" s="4" t="inlineStr">
        <is>
          <t>https://github.com/bloodyteeths/kolayxport_supa/blob/main/docs/gtm/turkey-gameplan.md</t>
        </is>
      </c>
      <c r="H18" s="4" t="inlineStr"/>
      <c r="I18" s="8" t="inlineStr">
        <is>
          <t>Budget ₺4–6k; brief in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T14</t>
        </is>
      </c>
      <c r="B19" s="8" t="inlineStr">
        <is>
          <t>Shortlist + score 110 FB/Telegram groups and 20 müşavirler in Partner pipeline</t>
        </is>
      </c>
      <c r="C19" s="4" t="inlineStr">
        <is>
          <t>Merisa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>
        <is>
          <t>T13</t>
        </is>
      </c>
      <c r="I19" s="8" t="inlineStr">
        <is>
          <t>Scoring rubric: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T15</t>
        </is>
      </c>
      <c r="B20" s="8" t="inlineStr">
        <is>
          <t>Shortlist + score 50 X accounts and 20 YouTube channels in Partner pipeline</t>
        </is>
      </c>
      <c r="C20" s="4" t="inlineStr">
        <is>
          <t>Ekin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T16</t>
        </is>
      </c>
      <c r="B21" s="8" t="inlineStr">
        <is>
          <t>Week 1: 15 helpful answers in target groups (no links)</t>
        </is>
      </c>
      <c r="C21" s="4" t="inlineStr">
        <is>
          <t>Merisa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T17</t>
        </is>
      </c>
      <c r="B22" s="8" t="inlineStr">
        <is>
          <t>Week 1: 15 helpful X replies on e-ihracat threads</t>
        </is>
      </c>
      <c r="C22" s="4" t="inlineStr">
        <is>
          <t>Ekin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T18</t>
        </is>
      </c>
      <c r="B23" s="8" t="inlineStr">
        <is>
          <t>Manual prod check of referral Stage A: open /?ref=TEST-PARTNER, sign up, see 1 signup in /admin/partners, then delete test data</t>
        </is>
      </c>
      <c r="C23" s="4" t="inlineStr">
        <is>
          <t>Merisa</t>
        </is>
      </c>
      <c r="D23" s="5" t="n">
        <v>46319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https://kolayxport.com/admin/partners</t>
        </is>
      </c>
      <c r="H23" s="4" t="inlineStr"/>
      <c r="I23" s="8" t="inlineStr">
        <is>
          <t>With Claude d7; see Tests Q01</t>
        </is>
      </c>
      <c r="J23" s="4">
        <f>IF(AND(D23&lt;&gt;"",D23&lt;TODAY(),E23&lt;&gt;"Done",E23&lt;&gt;"Cancelled"),"OVERDUE","")</f>
        <v/>
      </c>
    </row>
    <row r="24">
      <c r="A24" s="4" t="inlineStr">
        <is>
          <t>T19</t>
        </is>
      </c>
      <c r="B24" s="8" t="inlineStr">
        <is>
          <t>Send the first partner messages (Varyant 5 / 6)</t>
        </is>
      </c>
      <c r="C24" s="4" t="inlineStr">
        <is>
          <t>Merisa</t>
        </is>
      </c>
      <c r="D24" s="5" t="n">
        <v>46328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https://github.com/bloodyteeths/kolayxport_supa/blob/main/docs/gtm/turkey-gameplan.md</t>
        </is>
      </c>
      <c r="H24" s="4" t="inlineStr">
        <is>
          <t>T09, T18</t>
        </is>
      </c>
      <c r="I24" s="8" t="inlineStr">
        <is>
          <t>Only after tracking is confirmed</t>
        </is>
      </c>
      <c r="J24" s="4">
        <f>IF(AND(D24&lt;&gt;"",D24&lt;TODAY(),E24&lt;&gt;"Done",E24&lt;&gt;"Cancelled"),"OVERDUE","")</f>
        <v/>
      </c>
    </row>
    <row r="25">
      <c r="A25" s="4" t="inlineStr">
        <is>
          <t>T20</t>
        </is>
      </c>
      <c r="B25" s="8" t="inlineStr">
        <is>
          <t>Fact-check the blog posts (2 a week)</t>
        </is>
      </c>
      <c r="C25" s="4" t="inlineStr">
        <is>
          <t>Merisa</t>
        </is>
      </c>
      <c r="D25" s="5" t="n">
        <v>46329</v>
      </c>
      <c r="E25" s="4" t="inlineStr">
        <is>
          <t>Not started</t>
        </is>
      </c>
      <c r="F25" s="4" t="inlineStr">
        <is>
          <t>P1</t>
        </is>
      </c>
      <c r="G25" s="4" t="inlineStr">
        <is>
          <t>https://github.com/bloodyteeths/kolayxport_supa/blob/main/docs/gtm/seo/content-calendar.md</t>
        </is>
      </c>
      <c r="H25" s="4" t="inlineStr"/>
      <c r="I25" s="8" t="inlineStr">
        <is>
          <t>Recurring every Tue/Thu</t>
        </is>
      </c>
      <c r="J25" s="4">
        <f>IF(AND(D25&lt;&gt;"",D25&lt;TODAY(),E25&lt;&gt;"Done",E25&lt;&gt;"Cancelled"),"OVERDUE","")</f>
        <v/>
      </c>
    </row>
    <row r="26">
      <c r="A26" s="4" t="inlineStr">
        <is>
          <t>T21</t>
        </is>
      </c>
      <c r="B26" s="8" t="inlineStr">
        <is>
          <t>First live demo in a partner group (scripted, 30 min)</t>
        </is>
      </c>
      <c r="C26" s="4" t="inlineStr">
        <is>
          <t>Merisa</t>
        </is>
      </c>
      <c r="D26" s="5" t="n">
        <v>46344</v>
      </c>
      <c r="E26" s="4" t="inlineStr">
        <is>
          <t>Not started</t>
        </is>
      </c>
      <c r="F26" s="4" t="inlineStr">
        <is>
          <t>P1</t>
        </is>
      </c>
      <c r="G26" s="4" t="inlineStr"/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T22</t>
        </is>
      </c>
      <c r="B27" s="8" t="inlineStr">
        <is>
          <t>Ask the first paying customers for written testimonial consent</t>
        </is>
      </c>
      <c r="C27" s="4" t="inlineStr">
        <is>
          <t>Merisa</t>
        </is>
      </c>
      <c r="D27" s="5" t="n">
        <v>46365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https://github.com/bloodyteeths/kolayxport_supa/blob/main/docs/gtm/social/legal-notes.md</t>
        </is>
      </c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T23</t>
        </is>
      </c>
      <c r="B28" s="8" t="inlineStr">
        <is>
          <t>Phase 2: start Instagram organic (only if the gate passed)</t>
        </is>
      </c>
      <c r="C28" s="4" t="inlineStr">
        <is>
          <t>Ekin</t>
        </is>
      </c>
      <c r="D28" s="5" t="n">
        <v>46398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https://github.com/bloodyteeths/kolayxport_supa/blob/main/docs/gtm/social/calendar-30d.md</t>
        </is>
      </c>
      <c r="H28" s="4" t="inlineStr">
        <is>
          <t>Gate</t>
        </is>
      </c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T24</t>
        </is>
      </c>
      <c r="B29" s="8" t="inlineStr">
        <is>
          <t>Referral Stage A (capture, claim, admin report)</t>
        </is>
      </c>
      <c r="C29" s="4" t="inlineStr">
        <is>
          <t>Claude: d7 (dev)</t>
        </is>
      </c>
      <c r="D29" s="5" t="n">
        <v>46314</v>
      </c>
      <c r="E29" s="4" t="inlineStr">
        <is>
          <t>Done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/>
      <c r="I29" s="8" t="inlineStr">
        <is>
          <t>Deployed b6ee9895</t>
        </is>
      </c>
      <c r="J29" s="4">
        <f>IF(AND(D29&lt;&gt;"",D29&lt;TODAY(),E29&lt;&gt;"Done",E29&lt;&gt;"Cancelled"),"OVERDUE","")</f>
        <v/>
      </c>
    </row>
    <row r="30">
      <c r="A30" s="4" t="inlineStr">
        <is>
          <t>T25</t>
        </is>
      </c>
      <c r="B30" s="8" t="inlineStr">
        <is>
          <t>Referral Stage B (bounty ledger, /app/ortaklik, Stripe Global Payouts)</t>
        </is>
      </c>
      <c r="C30" s="4" t="inlineStr">
        <is>
          <t>Claude: d7 (dev)</t>
        </is>
      </c>
      <c r="D30" s="5" t="n">
        <v>46333</v>
      </c>
      <c r="E30" s="4" t="inlineStr">
        <is>
          <t>In progress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>
        <is>
          <t>T09</t>
        </is>
      </c>
      <c r="I30" s="8" t="inlineStr">
        <is>
          <t>Spec §3–6</t>
        </is>
      </c>
      <c r="J30" s="4">
        <f>IF(AND(D30&lt;&gt;"",D30&lt;TODAY(),E30&lt;&gt;"Done",E30&lt;&gt;"Cancelled"),"OVERDUE","")</f>
        <v/>
      </c>
    </row>
    <row r="31">
      <c r="A31" s="4" t="inlineStr">
        <is>
          <t>T26</t>
        </is>
      </c>
      <c r="B31" s="8" t="inlineStr">
        <is>
          <t>Pricing v2 P1: plan keys, yearly limits, modules</t>
        </is>
      </c>
      <c r="C31" s="4" t="inlineStr">
        <is>
          <t>Claude: d7 (dev)</t>
        </is>
      </c>
      <c r="D31" s="5" t="n">
        <v>46314</v>
      </c>
      <c r="E31" s="4" t="inlineStr">
        <is>
          <t>Done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/>
      <c r="I31" s="8" t="inlineStr">
        <is>
          <t>Deployed d44c426e behind PRICING_V2 (flag off)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T26b</t>
        </is>
      </c>
      <c r="B32" s="8" t="inlineStr">
        <is>
          <t>Pricing v2 P3: Stripe prices (all 14: yearly packages, Aylık, modules)</t>
        </is>
      </c>
      <c r="C32" s="4" t="inlineStr">
        <is>
          <t>Claude: d7 (dev)</t>
        </is>
      </c>
      <c r="D32" s="5" t="n">
        <v>46314</v>
      </c>
      <c r="E32" s="4" t="inlineStr">
        <is>
          <t>Done</t>
        </is>
      </c>
      <c r="F32" s="4" t="inlineStr">
        <is>
          <t>P1</t>
        </is>
      </c>
      <c r="G32" s="4" t="inlineStr">
        <is>
          <t>https://dashboard.stripe.com/products</t>
        </is>
      </c>
      <c r="H32" s="4" t="inlineStr"/>
      <c r="I32" s="8" t="inlineStr">
        <is>
          <t>Created live, inert behind PRICING_V2; code waiting for a deploy slot</t>
        </is>
      </c>
      <c r="J32" s="4">
        <f>IF(AND(D32&lt;&gt;"",D32&lt;TODAY(),E32&lt;&gt;"Done",E32&lt;&gt;"Cancelled"),"OVERDUE","")</f>
        <v/>
      </c>
    </row>
    <row r="33">
      <c r="A33" s="4" t="inlineStr">
        <is>
          <t>T27</t>
        </is>
      </c>
      <c r="B33" s="8" t="inlineStr">
        <is>
          <t>Approve taksit option: 'yearly, paid monthly on a 12-month commitment' via Stripe (iyzico/PayTR dropped: Turkish merchants only)</t>
        </is>
      </c>
      <c r="C33" s="4" t="inlineStr">
        <is>
          <t>Atilla</t>
        </is>
      </c>
      <c r="D33" s="5" t="n">
        <v>46321</v>
      </c>
      <c r="E33" s="4" t="inlineStr">
        <is>
          <t>Waiting</t>
        </is>
      </c>
      <c r="F33" s="4" t="inlineStr">
        <is>
          <t>P0</t>
        </is>
      </c>
      <c r="G33" s="4" t="inlineStr">
        <is>
          <t>https://github.com/bloodyteeths/kolayxport_supa/blob/main/docs/gtm/pricing-v2.md</t>
        </is>
      </c>
      <c r="H33" s="4" t="inlineStr"/>
      <c r="I33" s="8" t="inlineStr">
        <is>
          <t>pricing-v2 §5; then 3 more Stripe prices + commitment rule (dev)</t>
        </is>
      </c>
      <c r="J33" s="4">
        <f>IF(AND(D33&lt;&gt;"",D33&lt;TODAY(),E33&lt;&gt;"Done",E33&lt;&gt;"Cancelled"),"OVERDUE","")</f>
        <v/>
      </c>
    </row>
    <row r="34">
      <c r="A34" s="4" t="inlineStr">
        <is>
          <t>T28</t>
        </is>
      </c>
      <c r="B34" s="8" t="inlineStr">
        <is>
          <t>Pricing v2 P4: /fiyatlandirma redesign (final amounts, no '+KDV')</t>
        </is>
      </c>
      <c r="C34" s="4" t="inlineStr">
        <is>
          <t>Claude: gtm-overhaul</t>
        </is>
      </c>
      <c r="D34" s="5" t="n">
        <v>46356</v>
      </c>
      <c r="E34" s="4" t="inlineStr">
        <is>
          <t>Not started</t>
        </is>
      </c>
      <c r="F34" s="4" t="inlineStr">
        <is>
          <t>P1</t>
        </is>
      </c>
      <c r="G34" s="4" t="inlineStr">
        <is>
          <t>https://github.com/bloodyteeths/kolayxport_supa/blob/main/docs/gtm/pricing-v2.md</t>
        </is>
      </c>
      <c r="H34" s="4" t="inlineStr">
        <is>
          <t>T05b, T27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T29</t>
        </is>
      </c>
      <c r="B35" s="8" t="inlineStr">
        <is>
          <t>Upload the remaining 8 tutorials</t>
        </is>
      </c>
      <c r="C35" s="4" t="inlineStr">
        <is>
          <t>Claude: gtm-overhaul</t>
        </is>
      </c>
      <c r="D35" s="5" t="n">
        <v>46315</v>
      </c>
      <c r="E35" s="4" t="inlineStr">
        <is>
          <t>In progress</t>
        </is>
      </c>
      <c r="F35" s="4" t="inlineStr">
        <is>
          <t>P1</t>
        </is>
      </c>
      <c r="G35" s="4" t="inlineStr">
        <is>
          <t>https://studio.youtube.com</t>
        </is>
      </c>
      <c r="H35" s="4" t="inlineStr"/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T30</t>
        </is>
      </c>
      <c r="B36" s="8" t="inlineStr">
        <is>
          <t>Blog cadence: 2 posts a week from the content calendar</t>
        </is>
      </c>
      <c r="C36" s="4" t="inlineStr">
        <is>
          <t>Claude: gtm-overhaul</t>
        </is>
      </c>
      <c r="D36" s="5" t="n">
        <v>46329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https://github.com/bloodyteeths/kolayxport_supa/blob/main/docs/gtm/seo/content-calendar.md</t>
        </is>
      </c>
      <c r="H36" s="4" t="inlineStr">
        <is>
          <t>T20</t>
        </is>
      </c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T31</t>
        </is>
      </c>
      <c r="B37" s="8" t="inlineStr">
        <is>
          <t>Draft the /ortaklik partner-terms page (publish after Stage B + accountant)</t>
        </is>
      </c>
      <c r="C37" s="4" t="inlineStr">
        <is>
          <t>Claude: gtm-overhaul</t>
        </is>
      </c>
      <c r="D37" s="5" t="n">
        <v>46333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https://github.com/bloodyteeths/kolayxport_supa/blob/main/docs/gtm/turkey-gameplan.md</t>
        </is>
      </c>
      <c r="H37" s="4" t="inlineStr">
        <is>
          <t>T07, T25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T32</t>
        </is>
      </c>
      <c r="B38" s="8" t="inlineStr">
        <is>
          <t>Privacy notice: one line on masked referrals shown to partners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https://github.com/bloodyteeths/kolayxport_supa/blob/main/docs/gtm/referral-spec.md</t>
        </is>
      </c>
      <c r="H38" s="4" t="inlineStr"/>
      <c r="I38" s="8" t="inlineStr">
        <is>
          <t>Lawyer-review flag</t>
        </is>
      </c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Cookie panel is live (since 2026-10-17); only tracking IDs gate Phase 2 measurement</t>
        </is>
      </c>
      <c r="C21" s="4" t="inlineStr">
        <is>
          <t>gtm-overhaul (verified)</t>
        </is>
      </c>
      <c r="D21" s="8" t="inlineStr">
        <is>
          <t>turkey-gameplan §4.9</t>
        </is>
      </c>
      <c r="E21" s="8" t="inlineStr"/>
    </row>
    <row r="22">
      <c r="A22" s="5" t="n"/>
      <c r="B22" s="8" t="n"/>
      <c r="C22" s="4" t="n"/>
      <c r="D22" s="8" t="n"/>
      <c r="E22" s="8" t="n"/>
    </row>
    <row r="23">
      <c r="A23" s="5" t="n"/>
      <c r="B23" s="8" t="n"/>
      <c r="C23" s="4" t="n"/>
      <c r="D23" s="8" t="n"/>
      <c r="E23" s="8" t="n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2026-10-19T18:12:33Z</dcterms:created>
  <dcterms:modified xmlns:dcterms="http://purl.org/dc/terms/" xmlns:xsi="http://www.w3.org/2001/XMLSchema-instance" xsi:type="dcterms:W3CDTF">2026-10-19T18:12:34Z</dcterms:modified>
</cp:coreProperties>
</file>