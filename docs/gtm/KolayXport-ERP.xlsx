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studio.youtube.com" TargetMode="External" Id="rId22"/><Relationship Type="http://schemas.openxmlformats.org/officeDocument/2006/relationships/hyperlink" Target="https://dashboard.stripe.com" TargetMode="External" Id="rId23"/><Relationship Type="http://schemas.openxmlformats.org/officeDocument/2006/relationships/hyperlink" Target="https://ticaret.gov.tr/haberler/ticaret-bakanligi-sosyal-medya-etkileyicileri-icin-kilavuz-yayimladi" TargetMode="External" Id="rId24"/><Relationship Type="http://schemas.openxmlformats.org/officeDocument/2006/relationships/hyperlink" Target="https://bionluk.com" TargetMode="External" Id="rId25"/><Relationship Type="http://schemas.openxmlformats.org/officeDocument/2006/relationships/hyperlink" Target="https://prapazar.com/tr/paketler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Final OK on module prices (finance ₺990, arbitrage ₺990, photo studio ₺790, extra store ₺490, +500 orders ₺490 a month)</t>
        </is>
      </c>
      <c r="C10" s="4" t="inlineStr">
        <is>
          <t>Atilla</t>
        </is>
      </c>
      <c r="D10" s="5" t="n">
        <v>46319</v>
      </c>
      <c r="E10" s="4" t="inlineStr">
        <is>
          <t>Waiting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Already created in Stripe at these amounts by d7; on Atilla's board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Decide seller of record + KDV</t>
        </is>
      </c>
      <c r="C11" s="4" t="inlineStr">
        <is>
          <t>Atilla</t>
        </is>
      </c>
      <c r="D11" s="5" t="n">
        <v>46314</v>
      </c>
      <c r="E11" s="4" t="inlineStr">
        <is>
          <t>Done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Resolved by Atilla: Tamsar, Inc. sells, TRY via Stripe, no KDV added; Modsons invoices Tamsar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Accountant: confirm partner payout paperwork once (W-8BEN; partners declare income in Turkey)</t>
        </is>
      </c>
      <c r="C12" s="4" t="inlineStr">
        <is>
          <t>Accountant</t>
        </is>
      </c>
      <c r="D12" s="5" t="n">
        <v>46376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https://github.com/bloodyteeths/kolayxport_supa/blob/main/docs/gtm/pricing-v2.md</t>
        </is>
      </c>
      <c r="H12" s="4" t="inlineStr"/>
      <c r="I12" s="8" t="inlineStr">
        <is>
          <t>Seller question resolved by Atilla (19 Oct); only this check remains, before the first payout (5 Jan)</t>
        </is>
      </c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Create the Stripe partner coupon(s) and set STRIPE_PARTNER_COUPON_ID via stdin</t>
        </is>
      </c>
      <c r="C14" s="4" t="inlineStr">
        <is>
          <t>Atilla</t>
        </is>
      </c>
      <c r="D14" s="5" t="n">
        <v>46328</v>
      </c>
      <c r="E14" s="4" t="inlineStr">
        <is>
          <t>Not started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20% once on yearly / repeating 3 months on Aylık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Create GTM container + GA4 + Meta pixel IDs and set them in the Hetzner .env</t>
        </is>
      </c>
      <c r="C15" s="4" t="inlineStr">
        <is>
          <t>Atilla</t>
        </is>
      </c>
      <c r="D15" s="5" t="n">
        <v>46356</v>
      </c>
      <c r="E15" s="4" t="inlineStr">
        <is>
          <t>Not started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Phase 2 gate</t>
        </is>
      </c>
      <c r="J15" s="4">
        <f>IF(AND(D15&lt;&gt;"",D15&lt;TODAY(),E15&lt;&gt;"Done",E15&lt;&gt;"Cancelled"),"OVERDUE","")</f>
        <v/>
      </c>
    </row>
    <row r="16">
      <c r="A16" s="4" t="inlineStr">
        <is>
          <t>T11</t>
        </is>
      </c>
      <c r="B16" s="8" t="inlineStr">
        <is>
          <t>Enable Stripe Global Payouts on the Tamsar, Inc. account</t>
        </is>
      </c>
      <c r="C16" s="4" t="inlineStr">
        <is>
          <t>Atilla</t>
        </is>
      </c>
      <c r="D16" s="5" t="n">
        <v>46376</v>
      </c>
      <c r="E16" s="4" t="inlineStr">
        <is>
          <t>Not started</t>
        </is>
      </c>
      <c r="F16" s="4" t="inlineStr">
        <is>
          <t>P1</t>
        </is>
      </c>
      <c r="G16" s="4" t="inlineStr">
        <is>
          <t>https://dashboard.stripe.com</t>
        </is>
      </c>
      <c r="H16" s="4" t="inlineStr"/>
      <c r="I16" s="8" t="inlineStr">
        <is>
          <t>Before the first payout run (5 Jan)</t>
        </is>
      </c>
      <c r="J16" s="4">
        <f>IF(AND(D16&lt;&gt;"",D16&lt;TODAY(),E16&lt;&gt;"Done",E16&lt;&gt;"Cancelled"),"OVERDUE","")</f>
        <v/>
      </c>
    </row>
    <row r="17">
      <c r="A17" s="4" t="inlineStr">
        <is>
          <t>T12</t>
        </is>
      </c>
      <c r="B17" s="8" t="inlineStr">
        <is>
          <t>Follow up Hepsiburada integrator ticket 1-404875606841365</t>
        </is>
      </c>
      <c r="C17" s="4" t="inlineStr">
        <is>
          <t>Atilla</t>
        </is>
      </c>
      <c r="D17" s="5" t="n">
        <v>46316</v>
      </c>
      <c r="E17" s="4" t="inlineStr">
        <is>
          <t>Waiting</t>
        </is>
      </c>
      <c r="F17" s="4" t="inlineStr">
        <is>
          <t>P1</t>
        </is>
      </c>
      <c r="G17" s="4" t="inlineStr"/>
      <c r="H17" s="4" t="inlineStr"/>
      <c r="I17" s="8" t="inlineStr">
        <is>
          <t>Planned close 21 Oct (Satıcı Paneli › Destek Kayıtlarım)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T13</t>
        </is>
      </c>
      <c r="B18" s="8" t="inlineStr">
        <is>
          <t>Hire a Bionluk freelancer for list-building (120 groups + 60 X/YouTube)</t>
        </is>
      </c>
      <c r="C18" s="4" t="inlineStr">
        <is>
          <t>Merisa</t>
        </is>
      </c>
      <c r="D18" s="5" t="n">
        <v>46322</v>
      </c>
      <c r="E18" s="4" t="inlineStr">
        <is>
          <t>Not started</t>
        </is>
      </c>
      <c r="F18" s="4" t="inlineStr">
        <is>
          <t>P0</t>
        </is>
      </c>
      <c r="G18" s="4" t="inlineStr">
        <is>
          <t>https://github.com/bloodyteeths/kolayxport_supa/blob/main/docs/gtm/turkey-gameplan.md</t>
        </is>
      </c>
      <c r="H18" s="4" t="inlineStr"/>
      <c r="I18" s="8" t="inlineStr">
        <is>
          <t>Budget ₺4–6k; brief in gameplan §4.4</t>
        </is>
      </c>
      <c r="J18" s="4">
        <f>IF(AND(D18&lt;&gt;"",D18&lt;TODAY(),E18&lt;&gt;"Done",E18&lt;&gt;"Cancelled"),"OVERDUE","")</f>
        <v/>
      </c>
    </row>
    <row r="19">
      <c r="A19" s="4" t="inlineStr">
        <is>
          <t>T14</t>
        </is>
      </c>
      <c r="B19" s="8" t="inlineStr">
        <is>
          <t>Shortlist + score 110 FB/Telegram groups and 20 müşavirler in Partner pipeline</t>
        </is>
      </c>
      <c r="C19" s="4" t="inlineStr">
        <is>
          <t>Merisa</t>
        </is>
      </c>
      <c r="D19" s="5" t="n">
        <v>46325</v>
      </c>
      <c r="E19" s="4" t="inlineStr">
        <is>
          <t>Not started</t>
        </is>
      </c>
      <c r="F19" s="4" t="inlineStr">
        <is>
          <t>P0</t>
        </is>
      </c>
      <c r="G19" s="4" t="inlineStr"/>
      <c r="H19" s="4" t="inlineStr">
        <is>
          <t>T13</t>
        </is>
      </c>
      <c r="I19" s="8" t="inlineStr">
        <is>
          <t>Scoring rubric: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T15</t>
        </is>
      </c>
      <c r="B20" s="8" t="inlineStr">
        <is>
          <t>Shortlist + score 50 X accounts and 20 YouTube channels in Partner pipeline</t>
        </is>
      </c>
      <c r="C20" s="4" t="inlineStr">
        <is>
          <t>Ekin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/>
      <c r="I20" s="8" t="inlineStr"/>
      <c r="J20" s="4">
        <f>IF(AND(D20&lt;&gt;"",D20&lt;TODAY(),E20&lt;&gt;"Done",E20&lt;&gt;"Cancelled"),"OVERDUE","")</f>
        <v/>
      </c>
    </row>
    <row r="21">
      <c r="A21" s="4" t="inlineStr">
        <is>
          <t>T16</t>
        </is>
      </c>
      <c r="B21" s="8" t="inlineStr">
        <is>
          <t>Week 1: 15 helpful answers in target groups (no links)</t>
        </is>
      </c>
      <c r="C21" s="4" t="inlineStr">
        <is>
          <t>Merisa</t>
        </is>
      </c>
      <c r="D21" s="5" t="n">
        <v>46325</v>
      </c>
      <c r="E21" s="4" t="inlineStr">
        <is>
          <t>Not started</t>
        </is>
      </c>
      <c r="F21" s="4" t="inlineStr">
        <is>
          <t>P1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T17</t>
        </is>
      </c>
      <c r="B22" s="8" t="inlineStr">
        <is>
          <t>Week 1: 15 helpful X replies on e-ihracat threads</t>
        </is>
      </c>
      <c r="C22" s="4" t="inlineStr">
        <is>
          <t>Ekin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T18</t>
        </is>
      </c>
      <c r="B23" s="8" t="inlineStr">
        <is>
          <t>Manual prod check of referral Stage A: open /?ref=TEST-PARTNER, sign up, see 1 signup in /admin/partners, then delete test data</t>
        </is>
      </c>
      <c r="C23" s="4" t="inlineStr">
        <is>
          <t>Merisa</t>
        </is>
      </c>
      <c r="D23" s="5" t="n">
        <v>46319</v>
      </c>
      <c r="E23" s="4" t="inlineStr">
        <is>
          <t>Not started</t>
        </is>
      </c>
      <c r="F23" s="4" t="inlineStr">
        <is>
          <t>P0</t>
        </is>
      </c>
      <c r="G23" s="4" t="inlineStr">
        <is>
          <t>https://kolayxport.com/admin/partners</t>
        </is>
      </c>
      <c r="H23" s="4" t="inlineStr"/>
      <c r="I23" s="8" t="inlineStr">
        <is>
          <t>With Claude d7; see Tests Q01</t>
        </is>
      </c>
      <c r="J23" s="4">
        <f>IF(AND(D23&lt;&gt;"",D23&lt;TODAY(),E23&lt;&gt;"Done",E23&lt;&gt;"Cancelled"),"OVERDUE","")</f>
        <v/>
      </c>
    </row>
    <row r="24">
      <c r="A24" s="4" t="inlineStr">
        <is>
          <t>T19</t>
        </is>
      </c>
      <c r="B24" s="8" t="inlineStr">
        <is>
          <t>Send the first partner messages (Varyant 5 / 6)</t>
        </is>
      </c>
      <c r="C24" s="4" t="inlineStr">
        <is>
          <t>Merisa</t>
        </is>
      </c>
      <c r="D24" s="5" t="n">
        <v>46328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https://github.com/bloodyteeths/kolayxport_supa/blob/main/docs/gtm/turkey-gameplan.md</t>
        </is>
      </c>
      <c r="H24" s="4" t="inlineStr">
        <is>
          <t>T09, T18</t>
        </is>
      </c>
      <c r="I24" s="8" t="inlineStr">
        <is>
          <t>Only after tracking is confirmed</t>
        </is>
      </c>
      <c r="J24" s="4">
        <f>IF(AND(D24&lt;&gt;"",D24&lt;TODAY(),E24&lt;&gt;"Done",E24&lt;&gt;"Cancelled"),"OVERDUE","")</f>
        <v/>
      </c>
    </row>
    <row r="25">
      <c r="A25" s="4" t="inlineStr">
        <is>
          <t>T20</t>
        </is>
      </c>
      <c r="B25" s="8" t="inlineStr">
        <is>
          <t>Fact-check the blog posts (2 a week)</t>
        </is>
      </c>
      <c r="C25" s="4" t="inlineStr">
        <is>
          <t>Merisa</t>
        </is>
      </c>
      <c r="D25" s="5" t="n">
        <v>46329</v>
      </c>
      <c r="E25" s="4" t="inlineStr">
        <is>
          <t>Not started</t>
        </is>
      </c>
      <c r="F25" s="4" t="inlineStr">
        <is>
          <t>P1</t>
        </is>
      </c>
      <c r="G25" s="4" t="inlineStr">
        <is>
          <t>https://github.com/bloodyteeths/kolayxport_supa/blob/main/docs/gtm/seo/content-calendar.md</t>
        </is>
      </c>
      <c r="H25" s="4" t="inlineStr"/>
      <c r="I25" s="8" t="inlineStr">
        <is>
          <t>Recurring every Tue/Thu</t>
        </is>
      </c>
      <c r="J25" s="4">
        <f>IF(AND(D25&lt;&gt;"",D25&lt;TODAY(),E25&lt;&gt;"Done",E25&lt;&gt;"Cancelled"),"OVERDUE","")</f>
        <v/>
      </c>
    </row>
    <row r="26">
      <c r="A26" s="4" t="inlineStr">
        <is>
          <t>T21</t>
        </is>
      </c>
      <c r="B26" s="8" t="inlineStr">
        <is>
          <t>First live demo in a partner group (scripted, 30 min)</t>
        </is>
      </c>
      <c r="C26" s="4" t="inlineStr">
        <is>
          <t>Merisa</t>
        </is>
      </c>
      <c r="D26" s="5" t="n">
        <v>46344</v>
      </c>
      <c r="E26" s="4" t="inlineStr">
        <is>
          <t>Not started</t>
        </is>
      </c>
      <c r="F26" s="4" t="inlineStr">
        <is>
          <t>P1</t>
        </is>
      </c>
      <c r="G26" s="4" t="inlineStr"/>
      <c r="H26" s="4" t="inlineStr"/>
      <c r="I26" s="8" t="inlineStr"/>
      <c r="J26" s="4">
        <f>IF(AND(D26&lt;&gt;"",D26&lt;TODAY(),E26&lt;&gt;"Done",E26&lt;&gt;"Cancelled"),"OVERDUE","")</f>
        <v/>
      </c>
    </row>
    <row r="27">
      <c r="A27" s="4" t="inlineStr">
        <is>
          <t>T22</t>
        </is>
      </c>
      <c r="B27" s="8" t="inlineStr">
        <is>
          <t>Ask the first paying customers for written testimonial consent</t>
        </is>
      </c>
      <c r="C27" s="4" t="inlineStr">
        <is>
          <t>Merisa</t>
        </is>
      </c>
      <c r="D27" s="5" t="n">
        <v>46365</v>
      </c>
      <c r="E27" s="4" t="inlineStr">
        <is>
          <t>Not started</t>
        </is>
      </c>
      <c r="F27" s="4" t="inlineStr">
        <is>
          <t>P2</t>
        </is>
      </c>
      <c r="G27" s="4" t="inlineStr">
        <is>
          <t>https://github.com/bloodyteeths/kolayxport_supa/blob/main/docs/gtm/social/legal-notes.md</t>
        </is>
      </c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T23</t>
        </is>
      </c>
      <c r="B28" s="8" t="inlineStr">
        <is>
          <t>Phase 2: start Instagram organic (only if the gate passed)</t>
        </is>
      </c>
      <c r="C28" s="4" t="inlineStr">
        <is>
          <t>Ekin</t>
        </is>
      </c>
      <c r="D28" s="5" t="n">
        <v>46398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https://github.com/bloodyteeths/kolayxport_supa/blob/main/docs/gtm/social/calendar-30d.md</t>
        </is>
      </c>
      <c r="H28" s="4" t="inlineStr">
        <is>
          <t>Gate</t>
        </is>
      </c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T24</t>
        </is>
      </c>
      <c r="B29" s="8" t="inlineStr">
        <is>
          <t>Referral Stage A (capture, claim, admin report)</t>
        </is>
      </c>
      <c r="C29" s="4" t="inlineStr">
        <is>
          <t>Claude: d7 (dev)</t>
        </is>
      </c>
      <c r="D29" s="5" t="n">
        <v>46314</v>
      </c>
      <c r="E29" s="4" t="inlineStr">
        <is>
          <t>Done</t>
        </is>
      </c>
      <c r="F29" s="4" t="inlineStr">
        <is>
          <t>P0</t>
        </is>
      </c>
      <c r="G29" s="4" t="inlineStr">
        <is>
          <t>https://github.com/bloodyteeths/kolayxport_supa/blob/main/docs/gtm/referral-spec.md</t>
        </is>
      </c>
      <c r="H29" s="4" t="inlineStr"/>
      <c r="I29" s="8" t="inlineStr">
        <is>
          <t>Deployed b6ee9895</t>
        </is>
      </c>
      <c r="J29" s="4">
        <f>IF(AND(D29&lt;&gt;"",D29&lt;TODAY(),E29&lt;&gt;"Done",E29&lt;&gt;"Cancelled"),"OVERDUE","")</f>
        <v/>
      </c>
    </row>
    <row r="30">
      <c r="A30" s="4" t="inlineStr">
        <is>
          <t>T25</t>
        </is>
      </c>
      <c r="B30" s="8" t="inlineStr">
        <is>
          <t>Referral Stage B (bounty ledger, /app/ortaklik, Stripe Global Payouts)</t>
        </is>
      </c>
      <c r="C30" s="4" t="inlineStr">
        <is>
          <t>Claude: d7 (dev)</t>
        </is>
      </c>
      <c r="D30" s="5" t="n">
        <v>46333</v>
      </c>
      <c r="E30" s="4" t="inlineStr">
        <is>
          <t>In progress</t>
        </is>
      </c>
      <c r="F30" s="4" t="inlineStr">
        <is>
          <t>P0</t>
        </is>
      </c>
      <c r="G30" s="4" t="inlineStr">
        <is>
          <t>https://github.com/bloodyteeths/kolayxport_supa/blob/main/docs/gtm/referral-spec.md</t>
        </is>
      </c>
      <c r="H30" s="4" t="inlineStr">
        <is>
          <t>T09</t>
        </is>
      </c>
      <c r="I30" s="8" t="inlineStr">
        <is>
          <t>Spec §3–6</t>
        </is>
      </c>
      <c r="J30" s="4">
        <f>IF(AND(D30&lt;&gt;"",D30&lt;TODAY(),E30&lt;&gt;"Done",E30&lt;&gt;"Cancelled"),"OVERDUE","")</f>
        <v/>
      </c>
    </row>
    <row r="31">
      <c r="A31" s="4" t="inlineStr">
        <is>
          <t>T26</t>
        </is>
      </c>
      <c r="B31" s="8" t="inlineStr">
        <is>
          <t>Pricing v2 P1: plan keys, yearly limits, modules</t>
        </is>
      </c>
      <c r="C31" s="4" t="inlineStr">
        <is>
          <t>Claude: d7 (dev)</t>
        </is>
      </c>
      <c r="D31" s="5" t="n">
        <v>46314</v>
      </c>
      <c r="E31" s="4" t="inlineStr">
        <is>
          <t>Done</t>
        </is>
      </c>
      <c r="F31" s="4" t="inlineStr">
        <is>
          <t>P0</t>
        </is>
      </c>
      <c r="G31" s="4" t="inlineStr">
        <is>
          <t>https://github.com/bloodyteeths/kolayxport_supa/blob/main/docs/gtm/pricing-v2.md</t>
        </is>
      </c>
      <c r="H31" s="4" t="inlineStr"/>
      <c r="I31" s="8" t="inlineStr">
        <is>
          <t>Deployed d44c426e behind PRICING_V2 (flag off)</t>
        </is>
      </c>
      <c r="J31" s="4">
        <f>IF(AND(D31&lt;&gt;"",D31&lt;TODAY(),E31&lt;&gt;"Done",E31&lt;&gt;"Cancelled"),"OVERDUE","")</f>
        <v/>
      </c>
    </row>
    <row r="32">
      <c r="A32" s="4" t="inlineStr">
        <is>
          <t>T26b</t>
        </is>
      </c>
      <c r="B32" s="8" t="inlineStr">
        <is>
          <t>Pricing v2 P3: Stripe prices (all 14: yearly packages, Aylık, modules)</t>
        </is>
      </c>
      <c r="C32" s="4" t="inlineStr">
        <is>
          <t>Claude: d7 (dev)</t>
        </is>
      </c>
      <c r="D32" s="5" t="n">
        <v>46314</v>
      </c>
      <c r="E32" s="4" t="inlineStr">
        <is>
          <t>Done</t>
        </is>
      </c>
      <c r="F32" s="4" t="inlineStr">
        <is>
          <t>P1</t>
        </is>
      </c>
      <c r="G32" s="4" t="inlineStr">
        <is>
          <t>https://dashboard.stripe.com/products</t>
        </is>
      </c>
      <c r="H32" s="4" t="inlineStr"/>
      <c r="I32" s="8" t="inlineStr">
        <is>
          <t>Created live, inert behind PRICING_V2; code waiting for a deploy slot</t>
        </is>
      </c>
      <c r="J32" s="4">
        <f>IF(AND(D32&lt;&gt;"",D32&lt;TODAY(),E32&lt;&gt;"Done",E32&lt;&gt;"Cancelled"),"OVERDUE","")</f>
        <v/>
      </c>
    </row>
    <row r="33">
      <c r="A33" s="4" t="inlineStr">
        <is>
          <t>T27</t>
        </is>
      </c>
      <c r="B33" s="8" t="inlineStr">
        <is>
          <t>Decide taksit option</t>
        </is>
      </c>
      <c r="C33" s="4" t="inlineStr">
        <is>
          <t>Atilla</t>
        </is>
      </c>
      <c r="D33" s="5" t="n">
        <v>46314</v>
      </c>
      <c r="E33" s="4" t="inlineStr">
        <is>
          <t>Done</t>
        </is>
      </c>
      <c r="F33" s="4" t="inlineStr">
        <is>
          <t>P0</t>
        </is>
      </c>
      <c r="G33" s="4" t="inlineStr">
        <is>
          <t>https://github.com/bloodyteeths/kolayxport_supa/blob/main/docs/gtm/pricing-v2.md</t>
        </is>
      </c>
      <c r="H33" s="4" t="inlineStr"/>
      <c r="I33" s="8" t="inlineStr">
        <is>
          <t>Decided: yearly = pay-in-full only (Stripe card); Aylık = no-commitment option; iyzico/PayTR dropped. Parked: real taksit only via a Turkish seller entity later</t>
        </is>
      </c>
      <c r="J33" s="4">
        <f>IF(AND(D33&lt;&gt;"",D33&lt;TODAY(),E33&lt;&gt;"Done",E33&lt;&gt;"Cancelled"),"OVERDUE","")</f>
        <v/>
      </c>
    </row>
    <row r="34">
      <c r="A34" s="4" t="inlineStr">
        <is>
          <t>T28</t>
        </is>
      </c>
      <c r="B34" s="8" t="inlineStr">
        <is>
          <t>Pricing v2 P4: /fiyatlandirma redesign (final amounts, no '+KDV')</t>
        </is>
      </c>
      <c r="C34" s="4" t="inlineStr">
        <is>
          <t>Claude: gtm-overhaul</t>
        </is>
      </c>
      <c r="D34" s="5" t="n">
        <v>46356</v>
      </c>
      <c r="E34" s="4" t="inlineStr">
        <is>
          <t>Not started</t>
        </is>
      </c>
      <c r="F34" s="4" t="inlineStr">
        <is>
          <t>P1</t>
        </is>
      </c>
      <c r="G34" s="4" t="inlineStr">
        <is>
          <t>https://github.com/bloodyteeths/kolayxport_supa/blob/main/docs/gtm/pricing-v2.md</t>
        </is>
      </c>
      <c r="H34" s="4" t="inlineStr">
        <is>
          <t>T05b, T27</t>
        </is>
      </c>
      <c r="I34" s="8" t="inlineStr"/>
      <c r="J34" s="4">
        <f>IF(AND(D34&lt;&gt;"",D34&lt;TODAY(),E34&lt;&gt;"Done",E34&lt;&gt;"Cancelled"),"OVERDUE","")</f>
        <v/>
      </c>
    </row>
    <row r="35">
      <c r="A35" s="4" t="inlineStr">
        <is>
          <t>T29</t>
        </is>
      </c>
      <c r="B35" s="8" t="inlineStr">
        <is>
          <t>Upload the remaining 8 tutorials</t>
        </is>
      </c>
      <c r="C35" s="4" t="inlineStr">
        <is>
          <t>Claude: gtm-overhaul</t>
        </is>
      </c>
      <c r="D35" s="5" t="n">
        <v>46315</v>
      </c>
      <c r="E35" s="4" t="inlineStr">
        <is>
          <t>In progress</t>
        </is>
      </c>
      <c r="F35" s="4" t="inlineStr">
        <is>
          <t>P1</t>
        </is>
      </c>
      <c r="G35" s="4" t="inlineStr">
        <is>
          <t>https://studio.youtube.com</t>
        </is>
      </c>
      <c r="H35" s="4" t="inlineStr"/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T30</t>
        </is>
      </c>
      <c r="B36" s="8" t="inlineStr">
        <is>
          <t>Blog cadence: 2 posts a week from the content calendar</t>
        </is>
      </c>
      <c r="C36" s="4" t="inlineStr">
        <is>
          <t>Claude: gtm-overhaul</t>
        </is>
      </c>
      <c r="D36" s="5" t="n">
        <v>46329</v>
      </c>
      <c r="E36" s="4" t="inlineStr">
        <is>
          <t>Not started</t>
        </is>
      </c>
      <c r="F36" s="4" t="inlineStr">
        <is>
          <t>P1</t>
        </is>
      </c>
      <c r="G36" s="4" t="inlineStr">
        <is>
          <t>https://github.com/bloodyteeths/kolayxport_supa/blob/main/docs/gtm/seo/content-calendar.md</t>
        </is>
      </c>
      <c r="H36" s="4" t="inlineStr">
        <is>
          <t>T20</t>
        </is>
      </c>
      <c r="I36" s="8" t="inlineStr"/>
      <c r="J36" s="4">
        <f>IF(AND(D36&lt;&gt;"",D36&lt;TODAY(),E36&lt;&gt;"Done",E36&lt;&gt;"Cancelled"),"OVERDUE","")</f>
        <v/>
      </c>
    </row>
    <row r="37">
      <c r="A37" s="4" t="inlineStr">
        <is>
          <t>T31</t>
        </is>
      </c>
      <c r="B37" s="8" t="inlineStr">
        <is>
          <t>Draft the /ortaklik partner-terms page (publish after Stage B + accountant)</t>
        </is>
      </c>
      <c r="C37" s="4" t="inlineStr">
        <is>
          <t>Claude: gtm-overhaul</t>
        </is>
      </c>
      <c r="D37" s="5" t="n">
        <v>46333</v>
      </c>
      <c r="E37" s="4" t="inlineStr">
        <is>
          <t>Not started</t>
        </is>
      </c>
      <c r="F37" s="4" t="inlineStr">
        <is>
          <t>P1</t>
        </is>
      </c>
      <c r="G37" s="4" t="inlineStr">
        <is>
          <t>https://github.com/bloodyteeths/kolayxport_supa/blob/main/docs/gtm/turkey-gameplan.md</t>
        </is>
      </c>
      <c r="H37" s="4" t="inlineStr">
        <is>
          <t>T07, T25</t>
        </is>
      </c>
      <c r="I37" s="8" t="inlineStr"/>
      <c r="J37" s="4">
        <f>IF(AND(D37&lt;&gt;"",D37&lt;TODAY(),E37&lt;&gt;"Done",E37&lt;&gt;"Cancelled"),"OVERDUE","")</f>
        <v/>
      </c>
    </row>
    <row r="38">
      <c r="A38" s="4" t="inlineStr">
        <is>
          <t>T32</t>
        </is>
      </c>
      <c r="B38" s="8" t="inlineStr">
        <is>
          <t>Privacy notice: one line on masked referrals shown to partners</t>
        </is>
      </c>
      <c r="C38" s="4" t="inlineStr">
        <is>
          <t>Claude: gtm-overhaul</t>
        </is>
      </c>
      <c r="D38" s="5" t="n">
        <v>46333</v>
      </c>
      <c r="E38" s="4" t="inlineStr">
        <is>
          <t>Not started</t>
        </is>
      </c>
      <c r="F38" s="4" t="inlineStr">
        <is>
          <t>P1</t>
        </is>
      </c>
      <c r="G38" s="4" t="inlineStr">
        <is>
          <t>https://github.com/bloodyteeths/kolayxport_supa/blob/main/docs/gtm/referral-spec.md</t>
        </is>
      </c>
      <c r="H38" s="4" t="inlineStr"/>
      <c r="I38" s="8" t="inlineStr">
        <is>
          <t>Lawyer-review flag</t>
        </is>
      </c>
      <c r="J38" s="4">
        <f>IF(AND(D38&lt;&gt;"",D38&lt;TODAY(),E38&lt;&gt;"Done",E38&lt;&gt;"Cancelled"),"OVERDUE","")</f>
        <v/>
      </c>
    </row>
    <row r="39">
      <c r="A39" s="4" t="n"/>
      <c r="B39" s="8" t="n"/>
      <c r="C39" s="4" t="n"/>
      <c r="D39" s="5" t="n"/>
      <c r="E39" s="4" t="n"/>
      <c r="F39" s="4" t="n"/>
      <c r="G39" s="4" t="n"/>
      <c r="H39" s="4" t="n"/>
      <c r="I39" s="8" t="n"/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YouTube Studio</t>
        </is>
      </c>
      <c r="C26" s="15" t="inlineStr">
        <is>
          <t>https://studio.youtube.com</t>
        </is>
      </c>
      <c r="D26" s="4" t="inlineStr">
        <is>
          <t>Atilla</t>
        </is>
      </c>
      <c r="E26" s="8" t="inlineStr"/>
    </row>
    <row r="27">
      <c r="A27" s="4" t="inlineStr">
        <is>
          <t>External</t>
        </is>
      </c>
      <c r="B27" s="4" t="inlineStr">
        <is>
          <t>Stripe dashboard (Tamsar, Inc.)</t>
        </is>
      </c>
      <c r="C27" s="15" t="inlineStr">
        <is>
          <t>https://dashboard.stripe.com</t>
        </is>
      </c>
      <c r="D27" s="4" t="inlineStr">
        <is>
          <t>Atilla</t>
        </is>
      </c>
      <c r="E27" s="8" t="inlineStr">
        <is>
          <t>Coupons, promo codes, Global Payouts</t>
        </is>
      </c>
    </row>
    <row r="28">
      <c r="A28" s="4" t="inlineStr">
        <is>
          <t>External</t>
        </is>
      </c>
      <c r="B28" s="4" t="inlineStr">
        <is>
          <t>Reklam Kurulu influencer guide (send to partners)</t>
        </is>
      </c>
      <c r="C28" s="15" t="inlineStr">
        <is>
          <t>https://ticaret.gov.tr/haberler/ticaret-bakanligi-sosyal-medya-etkileyicileri-icin-kilavuz-yayimladi</t>
        </is>
      </c>
      <c r="D28" s="4" t="inlineStr">
        <is>
          <t>Merisa, Ekin</t>
        </is>
      </c>
      <c r="E28" s="8" t="inlineStr"/>
    </row>
    <row r="29">
      <c r="A29" s="4" t="inlineStr">
        <is>
          <t>External</t>
        </is>
      </c>
      <c r="B29" s="4" t="inlineStr">
        <is>
          <t>Bionluk (freelancers)</t>
        </is>
      </c>
      <c r="C29" s="15" t="inlineStr">
        <is>
          <t>https://bionluk.com</t>
        </is>
      </c>
      <c r="D29" s="4" t="inlineStr">
        <is>
          <t>Merisa</t>
        </is>
      </c>
      <c r="E29" s="8" t="inlineStr"/>
    </row>
    <row r="30">
      <c r="A30" s="4" t="inlineStr">
        <is>
          <t>External</t>
        </is>
      </c>
      <c r="B30" s="4" t="inlineStr">
        <is>
          <t>PraPazar packages (pricing reference)</t>
        </is>
      </c>
      <c r="C30" s="15" t="inlineStr">
        <is>
          <t>https://prapazar.com/tr/paketler</t>
        </is>
      </c>
      <c r="D30" s="4" t="inlineStr">
        <is>
          <t>Atilla</t>
        </is>
      </c>
      <c r="E30" s="8" t="inlineStr">
        <is>
          <t>Checked 2026-10-19</t>
        </is>
      </c>
    </row>
    <row r="31">
      <c r="A31" s="4" t="n"/>
      <c r="B31" s="4" t="n"/>
      <c r="C31" s="4" t="n"/>
      <c r="D31" s="4" t="n"/>
      <c r="E31" s="8" t="n"/>
    </row>
    <row r="32">
      <c r="A32" s="4" t="n"/>
      <c r="B32" s="4" t="n"/>
      <c r="C32" s="4" t="n"/>
      <c r="D32" s="4" t="n"/>
      <c r="E32" s="8" t="n"/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Seller of record = Tamsar, Inc. for all customers; charges in TRY via Stripe with NO KDV added; prices are final amounts. Modsons invoices Tamsar for services and runs marketing in Turkey</t>
        </is>
      </c>
      <c r="C18" s="4" t="inlineStr">
        <is>
          <t>Atilla</t>
        </is>
      </c>
      <c r="D18" s="8" t="inlineStr">
        <is>
          <t>d7 session (via orchestrator)</t>
        </is>
      </c>
      <c r="E18" s="8" t="inlineStr">
        <is>
          <t>Supersedes '+KDV' and the Modsons-sells proposal</t>
        </is>
      </c>
    </row>
    <row r="19">
      <c r="A19" s="5" t="n">
        <v>46314</v>
      </c>
      <c r="B19" s="8" t="inlineStr">
        <is>
          <t>All 14 Stripe prices created (yearly packages, Aylık, modules), live but inert behind PRICING_V2</t>
        </is>
      </c>
      <c r="C19" s="4" t="inlineStr">
        <is>
          <t>Atilla / d7</t>
        </is>
      </c>
      <c r="D19" s="8" t="inlineStr">
        <is>
          <t>orchestrator</t>
        </is>
      </c>
      <c r="E19" s="8" t="inlineStr"/>
    </row>
    <row r="20">
      <c r="A20" s="5" t="n">
        <v>46314</v>
      </c>
      <c r="B20" s="8" t="inlineStr">
        <is>
          <t>iyzico/PayTR dropped (Turkish merchants only; Tamsar, Inc. sells). Taksit replacement proposed: yearly paid monthly on a 12-month commitment</t>
        </is>
      </c>
      <c r="C20" s="4" t="inlineStr">
        <is>
          <t>Plan (proposal)</t>
        </is>
      </c>
      <c r="D20" s="8" t="inlineStr">
        <is>
          <t>pricing-v2 §5</t>
        </is>
      </c>
      <c r="E20" s="8" t="inlineStr">
        <is>
          <t>Waiting for Atilla (T27)</t>
        </is>
      </c>
    </row>
    <row r="21">
      <c r="A21" s="5" t="n">
        <v>46314</v>
      </c>
      <c r="B21" s="8" t="inlineStr">
        <is>
          <t>Yearly packages are PAY-IN-FULL ONLY (Stripe card); no 'yearly, paid monthly'; Aylık ₺2.999 stays the no-commitment option; bounty stays 25% of the first yearly payment (no split); P2 iyzico/PayTR dropped</t>
        </is>
      </c>
      <c r="C21" s="4" t="inlineStr">
        <is>
          <t>Atilla</t>
        </is>
      </c>
      <c r="D21" s="8" t="inlineStr">
        <is>
          <t>board (via orchestrator)</t>
        </is>
      </c>
      <c r="E21" s="8" t="inlineStr">
        <is>
          <t>Parked idea: real taksit only via a Turkish seller entity later</t>
        </is>
      </c>
    </row>
    <row r="22">
      <c r="A22" s="5" t="n">
        <v>46314</v>
      </c>
      <c r="B22" s="8" t="inlineStr">
        <is>
          <t>Cookie panel is live (since 2026-10-17); only tracking IDs gate Phase 2 measurement</t>
        </is>
      </c>
      <c r="C22" s="4" t="inlineStr">
        <is>
          <t>gtm-overhaul (verified)</t>
        </is>
      </c>
      <c r="D22" s="8" t="inlineStr">
        <is>
          <t>turkey-gameplan §4.9</t>
        </is>
      </c>
      <c r="E22" s="8" t="inlineStr"/>
    </row>
    <row r="23">
      <c r="A23" s="5" t="n"/>
      <c r="B23" s="8" t="n"/>
      <c r="C23" s="4" t="n"/>
      <c r="D23" s="8" t="n"/>
      <c r="E23" s="8" t="n"/>
    </row>
    <row r="24">
      <c r="A24" s="5" t="n"/>
      <c r="B24" s="8" t="n"/>
      <c r="C24" s="4" t="n"/>
      <c r="D24" s="8" t="n"/>
      <c r="E24" s="8" t="n"/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  <row r="70">
      <c r="A70" s="5" t="n"/>
      <c r="B70" s="8" t="n"/>
      <c r="C70" s="4" t="n"/>
      <c r="D70" s="8" t="n"/>
      <c r="E70" s="8" t="n"/>
    </row>
    <row r="71">
      <c r="A71" s="5" t="n"/>
      <c r="B71" s="8" t="n"/>
      <c r="C71" s="4" t="n"/>
      <c r="D71" s="8" t="n"/>
      <c r="E71" s="8" t="n"/>
    </row>
    <row r="72">
      <c r="A72" s="5" t="n"/>
      <c r="B72" s="8" t="n"/>
      <c r="C72" s="4" t="n"/>
      <c r="D72" s="8" t="n"/>
      <c r="E72" s="8" t="n"/>
    </row>
    <row r="73">
      <c r="A73" s="5" t="n"/>
      <c r="B73" s="8" t="n"/>
      <c r="C73" s="4" t="n"/>
      <c r="D73" s="8" t="n"/>
      <c r="E73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2026-10-19T18:21:25Z</dcterms:created>
  <dcterms:modified xmlns:dcterms="http://purl.org/dc/terms/" xmlns:xsi="http://www.w3.org/2001/XMLSchema-instance" xsi:type="dcterms:W3CDTF">2026-10-19T18:21:26Z</dcterms:modified>
</cp:coreProperties>
</file>