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Partner pipeline" sheetId="3" state="visible" r:id="rId3"/>
    <sheet xmlns:r="http://schemas.openxmlformats.org/officeDocument/2006/relationships" name="Weekly plan" sheetId="4" state="visible" r:id="rId4"/>
    <sheet xmlns:r="http://schemas.openxmlformats.org/officeDocument/2006/relationships" name="Content calendar" sheetId="5" state="visible" r:id="rId5"/>
    <sheet xmlns:r="http://schemas.openxmlformats.org/officeDocument/2006/relationships" name="Tests QA" sheetId="6" state="visible" r:id="rId6"/>
    <sheet xmlns:r="http://schemas.openxmlformats.org/officeDocument/2006/relationships" name="Links" sheetId="7" state="visible" r:id="rId7"/>
    <sheet xmlns:r="http://schemas.openxmlformats.org/officeDocument/2006/relationships" name="Decisions log" sheetId="8" state="visible" r:id="rId8"/>
    <sheet xmlns:r="http://schemas.openxmlformats.org/officeDocument/2006/relationships" name="Lists" sheetId="9" state="hidden" r:id="rId9"/>
  </sheets>
  <definedNames>
    <definedName name="Owners">Lists!$A$2:$A$11</definedName>
    <definedName name="TaskStatus">Lists!$B$2:$B$7</definedName>
    <definedName name="Priority">Lists!$C$2:$C$4</definedName>
    <definedName name="PartnerType">Lists!$D$2:$D$7</definedName>
    <definedName name="Channel">Lists!$E$2:$E$10</definedName>
    <definedName name="PartnerStatus">Lists!$F$2:$F$10</definedName>
    <definedName name="YesNo">Lists!$G$2:$G$3</definedName>
    <definedName name="ContentChannel">Lists!$H$2:$H$9</definedName>
    <definedName name="ContentStatus">Lists!$I$2:$I$7</definedName>
    <definedName name="TestResult">Lists!$J$2:$J$5</definedName>
    <definedName name="Testers">Lists!$K$2:$K$6</definedName>
    <definedName name="PartnerOwners">Lists!$L$2:$L$3</definedName>
    <definedName name="_xlnm._FilterDatabase" localSheetId="1" hidden="1">'Tasks'!$A$4:$J$204</definedName>
    <definedName name="_xlnm._FilterDatabase" localSheetId="2" hidden="1">'Partner pipeline'!$A$4:$Z$404</definedName>
    <definedName name="_xlnm._FilterDatabase" localSheetId="4" hidden="1">'Content calendar'!$A$4:$J$196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₺&quot;#,##0;-&quot;₺&quot;#,##0;&quot;-&quot;"/>
    <numFmt numFmtId="166" formatCode="&quot;₺&quot;#,##0"/>
  </numFmts>
  <fonts count="9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  <font>
      <name val="Arial"/>
      <color rgb="00808080"/>
    </font>
    <font>
      <name val="Arial"/>
      <b val="1"/>
      <color rgb="00FFFFFF"/>
    </font>
    <font>
      <name val="Arial"/>
      <color theme="1"/>
    </font>
    <font>
      <name val="Arial"/>
      <color rgb="000000FF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164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3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166" fontId="0" fillId="0" borderId="0" pivotButton="0" quotePrefix="0" xfId="0"/>
    <xf numFmtId="3" fontId="6" fillId="0" borderId="1" applyAlignment="1" pivotButton="0" quotePrefix="0" xfId="0">
      <alignment vertical="top"/>
    </xf>
    <xf numFmtId="3" fontId="6" fillId="3" borderId="1" applyAlignment="1" pivotButton="0" quotePrefix="0" xfId="0">
      <alignment vertical="top"/>
    </xf>
    <xf numFmtId="165" fontId="6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699"/>
        </patternFill>
      </fill>
    </dxf>
    <dxf>
      <font>
        <name val="Arial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github.com/bloodyteeths/kolayxport_supa/blob/main/docs/gtm/turkey-gameplan.md" TargetMode="External" Id="rId1"/><Relationship Type="http://schemas.openxmlformats.org/officeDocument/2006/relationships/hyperlink" Target="https://github.com/bloodyteeths/kolayxport_supa/blob/main/docs/gtm/pricing-v2.md" TargetMode="External" Id="rId2"/><Relationship Type="http://schemas.openxmlformats.org/officeDocument/2006/relationships/hyperlink" Target="https://github.com/bloodyteeths/kolayxport_supa/blob/main/docs/gtm/referral-spec.md" TargetMode="External" Id="rId3"/><Relationship Type="http://schemas.openxmlformats.org/officeDocument/2006/relationships/hyperlink" Target="https://github.com/bloodyteeths/kolayxport_supa/blob/main/docs/gtm/README.md" TargetMode="External" Id="rId4"/><Relationship Type="http://schemas.openxmlformats.org/officeDocument/2006/relationships/hyperlink" Target="https://github.com/bloodyteeths/kolayxport_supa/blob/main/docs/gtm/feature-inventory.md" TargetMode="External" Id="rId5"/><Relationship Type="http://schemas.openxmlformats.org/officeDocument/2006/relationships/hyperlink" Target="https://github.com/bloodyteeths/kolayxport_supa/blob/main/docs/gtm/social/outreach-messages.md" TargetMode="External" Id="rId6"/><Relationship Type="http://schemas.openxmlformats.org/officeDocument/2006/relationships/hyperlink" Target="https://github.com/bloodyteeths/kolayxport_supa/blob/main/docs/gtm/social/README.md" TargetMode="External" Id="rId7"/><Relationship Type="http://schemas.openxmlformats.org/officeDocument/2006/relationships/hyperlink" Target="https://github.com/bloodyteeths/kolayxport_supa/blob/main/docs/gtm/social/calendar-30d.md" TargetMode="External" Id="rId8"/><Relationship Type="http://schemas.openxmlformats.org/officeDocument/2006/relationships/hyperlink" Target="https://github.com/bloodyteeths/kolayxport_supa/blob/main/docs/gtm/social/ads-playbook.md" TargetMode="External" Id="rId9"/><Relationship Type="http://schemas.openxmlformats.org/officeDocument/2006/relationships/hyperlink" Target="https://github.com/bloodyteeths/kolayxport_supa/blob/main/docs/gtm/social/legal-notes.md" TargetMode="External" Id="rId10"/><Relationship Type="http://schemas.openxmlformats.org/officeDocument/2006/relationships/hyperlink" Target="https://github.com/bloodyteeths/kolayxport_supa/blob/main/docs/gtm/social/communities.csv" TargetMode="External" Id="rId11"/><Relationship Type="http://schemas.openxmlformats.org/officeDocument/2006/relationships/hyperlink" Target="https://github.com/bloodyteeths/kolayxport_supa/blob/main/docs/gtm/seo/content-calendar.md" TargetMode="External" Id="rId12"/><Relationship Type="http://schemas.openxmlformats.org/officeDocument/2006/relationships/hyperlink" Target="https://kolayxport.com/admin/partners" TargetMode="External" Id="rId13"/><Relationship Type="http://schemas.openxmlformats.org/officeDocument/2006/relationships/hyperlink" Target="https://kolayxport.com/app/ortaklik" TargetMode="External" Id="rId14"/><Relationship Type="http://schemas.openxmlformats.org/officeDocument/2006/relationships/hyperlink" Target="https://kolayxport.com/fiyatlandirma" TargetMode="External" Id="rId15"/><Relationship Type="http://schemas.openxmlformats.org/officeDocument/2006/relationships/hyperlink" Target="https://kolayxport.com/login?mode=signup" TargetMode="External" Id="rId16"/><Relationship Type="http://schemas.openxmlformats.org/officeDocument/2006/relationships/hyperlink" Target="https://kolayxport.com/cozumler" TargetMode="External" Id="rId17"/><Relationship Type="http://schemas.openxmlformats.org/officeDocument/2006/relationships/hyperlink" Target="https://kolayxport.com/nasil-kullanirim" TargetMode="External" Id="rId18"/><Relationship Type="http://schemas.openxmlformats.org/officeDocument/2006/relationships/hyperlink" Target="https://kolayxport.com/api/health" TargetMode="External" Id="rId19"/><Relationship Type="http://schemas.openxmlformats.org/officeDocument/2006/relationships/hyperlink" Target="https://chromewebstore.google.com/detail/fjlfihofjojemlofkfejikgdbjemncba" TargetMode="External" Id="rId20"/><Relationship Type="http://schemas.openxmlformats.org/officeDocument/2006/relationships/hyperlink" Target="https://youtu.be/RtHJlVkvAqg" TargetMode="External" Id="rId21"/><Relationship Type="http://schemas.openxmlformats.org/officeDocument/2006/relationships/hyperlink" Target="https://studio.youtube.com" TargetMode="External" Id="rId22"/><Relationship Type="http://schemas.openxmlformats.org/officeDocument/2006/relationships/hyperlink" Target="https://dashboard.stripe.com" TargetMode="External" Id="rId23"/><Relationship Type="http://schemas.openxmlformats.org/officeDocument/2006/relationships/hyperlink" Target="https://ticaret.gov.tr/haberler/ticaret-bakanligi-sosyal-medya-etkileyicileri-icin-kilavuz-yayimladi" TargetMode="External" Id="rId24"/><Relationship Type="http://schemas.openxmlformats.org/officeDocument/2006/relationships/hyperlink" Target="https://bionluk.com" TargetMode="External" Id="rId25"/><Relationship Type="http://schemas.openxmlformats.org/officeDocument/2006/relationships/hyperlink" Target="https://prapazar.com/tr/paketler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44" customWidth="1" min="16" max="16"/>
  </cols>
  <sheetData>
    <row r="1">
      <c r="A1" s="1" t="inlineStr">
        <is>
          <t>KolayXport Turkey: weekly dashboard (Phase 1 → 100 activated users)</t>
        </is>
      </c>
    </row>
    <row r="2">
      <c r="A2" s="2" t="inlineStr">
        <is>
          <t>Targets come from docs/gtm/turkey-gameplan.md §4.8 (checkpoints W2/W4/W6/W8/W10; weeks in between interpolated). Contacts and partners count themselves from 'Partner pipeline'.</t>
        </is>
      </c>
    </row>
    <row r="3">
      <c r="A3" s="2" t="inlineStr">
        <is>
          <t>Yellow cells = Merisa types the Friday numbers from /admin/partners (signups, activated, paying). Actual &lt; 80% of target in a week that has ended turns red.</t>
        </is>
      </c>
    </row>
    <row r="4">
      <c r="D4" s="2" t="inlineStr">
        <is>
          <t>Targets: blue = from the gameplan</t>
        </is>
      </c>
    </row>
    <row r="5" ht="32" customHeight="1">
      <c r="A5" s="3" t="inlineStr">
        <is>
          <t>Week</t>
        </is>
      </c>
      <c r="B5" s="3" t="inlineStr">
        <is>
          <t>Starts</t>
        </is>
      </c>
      <c r="C5" s="3" t="inlineStr">
        <is>
          <t>Ends</t>
        </is>
      </c>
      <c r="D5" s="3" t="inlineStr">
        <is>
          <t>Contacts target</t>
        </is>
      </c>
      <c r="E5" s="3" t="inlineStr">
        <is>
          <t>Contacts actual</t>
        </is>
      </c>
      <c r="F5" s="3" t="inlineStr">
        <is>
          <t>Partners signed target</t>
        </is>
      </c>
      <c r="G5" s="3" t="inlineStr">
        <is>
          <t>Partners signed actual</t>
        </is>
      </c>
      <c r="H5" s="3" t="inlineStr">
        <is>
          <t>Partners active target</t>
        </is>
      </c>
      <c r="I5" s="3" t="inlineStr">
        <is>
          <t>Partners active actual</t>
        </is>
      </c>
      <c r="J5" s="3" t="inlineStr">
        <is>
          <t>Signups target</t>
        </is>
      </c>
      <c r="K5" s="3" t="inlineStr">
        <is>
          <t>Signups actual</t>
        </is>
      </c>
      <c r="L5" s="3" t="inlineStr">
        <is>
          <t>Activated target</t>
        </is>
      </c>
      <c r="M5" s="3" t="inlineStr">
        <is>
          <t>Activated actual</t>
        </is>
      </c>
      <c r="N5" s="3" t="inlineStr">
        <is>
          <t>Paying target</t>
        </is>
      </c>
      <c r="O5" s="3" t="inlineStr">
        <is>
          <t>Paying actual</t>
        </is>
      </c>
      <c r="P5" s="3" t="inlineStr">
        <is>
          <t>Note</t>
        </is>
      </c>
    </row>
    <row r="6">
      <c r="A6" s="4" t="inlineStr">
        <is>
          <t>W1</t>
        </is>
      </c>
      <c r="B6" s="5" t="n">
        <v>46321</v>
      </c>
      <c r="C6" s="5">
        <f>B6+6</f>
        <v/>
      </c>
      <c r="D6" s="6" t="n">
        <v>0</v>
      </c>
      <c r="E6" s="4">
        <f>IF(B6&gt;TODAY(),"",COUNTIFS('Partner pipeline'!$J$5:$J$404,"&lt;="&amp;C6))</f>
        <v/>
      </c>
      <c r="F6" s="6" t="n">
        <v>0</v>
      </c>
      <c r="G6" s="4">
        <f>IF(B6&gt;TODAY(),"",COUNTIFS('Partner pipeline'!$O$5:$O$404,"&lt;="&amp;C6))</f>
        <v/>
      </c>
      <c r="H6" s="6" t="n">
        <v>0</v>
      </c>
      <c r="I6" s="4">
        <f>IF(B6&gt;TODAY(),"",COUNTIFS('Partner pipeline'!$R$5:$R$404,"&lt;="&amp;C6))</f>
        <v/>
      </c>
      <c r="J6" s="6" t="n">
        <v>0</v>
      </c>
      <c r="K6" s="7" t="n"/>
      <c r="L6" s="6" t="n">
        <v>0</v>
      </c>
      <c r="M6" s="7" t="n"/>
      <c r="N6" s="6" t="n">
        <v>0</v>
      </c>
      <c r="O6" s="7" t="n"/>
      <c r="P6" s="8" t="inlineStr">
        <is>
          <t>Set-up week: shortlist, freelancer, tracking test</t>
        </is>
      </c>
    </row>
    <row r="7">
      <c r="A7" s="4" t="inlineStr">
        <is>
          <t>W2</t>
        </is>
      </c>
      <c r="B7" s="5" t="n">
        <v>46328</v>
      </c>
      <c r="C7" s="5">
        <f>B7+6</f>
        <v/>
      </c>
      <c r="D7" s="6" t="n">
        <v>40</v>
      </c>
      <c r="E7" s="4">
        <f>IF(B7&gt;TODAY(),"",COUNTIFS('Partner pipeline'!$J$5:$J$404,"&lt;="&amp;C7))</f>
        <v/>
      </c>
      <c r="F7" s="6" t="n">
        <v>2</v>
      </c>
      <c r="G7" s="4">
        <f>IF(B7&gt;TODAY(),"",COUNTIFS('Partner pipeline'!$O$5:$O$404,"&lt;="&amp;C7))</f>
        <v/>
      </c>
      <c r="H7" s="6" t="n">
        <v>1</v>
      </c>
      <c r="I7" s="4">
        <f>IF(B7&gt;TODAY(),"",COUNTIFS('Partner pipeline'!$R$5:$R$404,"&lt;="&amp;C7))</f>
        <v/>
      </c>
      <c r="J7" s="6" t="n">
        <v>10</v>
      </c>
      <c r="K7" s="7" t="n"/>
      <c r="L7" s="6" t="n">
        <v>5</v>
      </c>
      <c r="M7" s="7" t="n"/>
      <c r="N7" s="6" t="n">
        <v>0</v>
      </c>
      <c r="O7" s="7" t="n"/>
      <c r="P7" s="8" t="inlineStr"/>
    </row>
    <row r="8">
      <c r="A8" s="4" t="inlineStr">
        <is>
          <t>W3</t>
        </is>
      </c>
      <c r="B8" s="5" t="n">
        <v>46335</v>
      </c>
      <c r="C8" s="5">
        <f>B8+6</f>
        <v/>
      </c>
      <c r="D8" s="6" t="n">
        <v>95</v>
      </c>
      <c r="E8" s="4">
        <f>IF(B8&gt;TODAY(),"",COUNTIFS('Partner pipeline'!$J$5:$J$404,"&lt;="&amp;C8))</f>
        <v/>
      </c>
      <c r="F8" s="6" t="n">
        <v>4</v>
      </c>
      <c r="G8" s="4">
        <f>IF(B8&gt;TODAY(),"",COUNTIFS('Partner pipeline'!$O$5:$O$404,"&lt;="&amp;C8))</f>
        <v/>
      </c>
      <c r="H8" s="6" t="n">
        <v>2</v>
      </c>
      <c r="I8" s="4">
        <f>IF(B8&gt;TODAY(),"",COUNTIFS('Partner pipeline'!$R$5:$R$404,"&lt;="&amp;C8))</f>
        <v/>
      </c>
      <c r="J8" s="6" t="n">
        <v>26</v>
      </c>
      <c r="K8" s="7" t="n"/>
      <c r="L8" s="6" t="n">
        <v>14</v>
      </c>
      <c r="M8" s="7" t="n"/>
      <c r="N8" s="6" t="n">
        <v>0</v>
      </c>
      <c r="O8" s="7" t="n"/>
      <c r="P8" s="8" t="inlineStr"/>
    </row>
    <row r="9">
      <c r="A9" s="4" t="inlineStr">
        <is>
          <t>W4</t>
        </is>
      </c>
      <c r="B9" s="5" t="n">
        <v>46342</v>
      </c>
      <c r="C9" s="5">
        <f>B9+6</f>
        <v/>
      </c>
      <c r="D9" s="6" t="n">
        <v>150</v>
      </c>
      <c r="E9" s="4">
        <f>IF(B9&gt;TODAY(),"",COUNTIFS('Partner pipeline'!$J$5:$J$404,"&lt;="&amp;C9))</f>
        <v/>
      </c>
      <c r="F9" s="6" t="n">
        <v>7</v>
      </c>
      <c r="G9" s="4">
        <f>IF(B9&gt;TODAY(),"",COUNTIFS('Partner pipeline'!$O$5:$O$404,"&lt;="&amp;C9))</f>
        <v/>
      </c>
      <c r="H9" s="6" t="n">
        <v>4</v>
      </c>
      <c r="I9" s="4">
        <f>IF(B9&gt;TODAY(),"",COUNTIFS('Partner pipeline'!$R$5:$R$404,"&lt;="&amp;C9))</f>
        <v/>
      </c>
      <c r="J9" s="6" t="n">
        <v>42</v>
      </c>
      <c r="K9" s="7" t="n"/>
      <c r="L9" s="6" t="n">
        <v>23</v>
      </c>
      <c r="M9" s="7" t="n"/>
      <c r="N9" s="6" t="n">
        <v>1</v>
      </c>
      <c r="O9" s="7" t="n"/>
      <c r="P9" s="8" t="inlineStr">
        <is>
          <t>First live demo</t>
        </is>
      </c>
    </row>
    <row r="10">
      <c r="A10" s="4" t="inlineStr">
        <is>
          <t>W5</t>
        </is>
      </c>
      <c r="B10" s="5" t="n">
        <v>46349</v>
      </c>
      <c r="C10" s="5">
        <f>B10+6</f>
        <v/>
      </c>
      <c r="D10" s="6" t="n">
        <v>205</v>
      </c>
      <c r="E10" s="4">
        <f>IF(B10&gt;TODAY(),"",COUNTIFS('Partner pipeline'!$J$5:$J$404,"&lt;="&amp;C10))</f>
        <v/>
      </c>
      <c r="F10" s="6" t="n">
        <v>10</v>
      </c>
      <c r="G10" s="4">
        <f>IF(B10&gt;TODAY(),"",COUNTIFS('Partner pipeline'!$O$5:$O$404,"&lt;="&amp;C10))</f>
        <v/>
      </c>
      <c r="H10" s="6" t="n">
        <v>5</v>
      </c>
      <c r="I10" s="4">
        <f>IF(B10&gt;TODAY(),"",COUNTIFS('Partner pipeline'!$R$5:$R$404,"&lt;="&amp;C10))</f>
        <v/>
      </c>
      <c r="J10" s="6" t="n">
        <v>63</v>
      </c>
      <c r="K10" s="7" t="n"/>
      <c r="L10" s="6" t="n">
        <v>34</v>
      </c>
      <c r="M10" s="7" t="n"/>
      <c r="N10" s="6" t="n">
        <v>2</v>
      </c>
      <c r="O10" s="7" t="n"/>
      <c r="P10" s="8" t="inlineStr"/>
    </row>
    <row r="11">
      <c r="A11" s="4" t="inlineStr">
        <is>
          <t>W6</t>
        </is>
      </c>
      <c r="B11" s="5" t="n">
        <v>46356</v>
      </c>
      <c r="C11" s="5">
        <f>B11+6</f>
        <v/>
      </c>
      <c r="D11" s="6" t="n">
        <v>260</v>
      </c>
      <c r="E11" s="4">
        <f>IF(B11&gt;TODAY(),"",COUNTIFS('Partner pipeline'!$J$5:$J$404,"&lt;="&amp;C11))</f>
        <v/>
      </c>
      <c r="F11" s="6" t="n">
        <v>12</v>
      </c>
      <c r="G11" s="4">
        <f>IF(B11&gt;TODAY(),"",COUNTIFS('Partner pipeline'!$O$5:$O$404,"&lt;="&amp;C11))</f>
        <v/>
      </c>
      <c r="H11" s="6" t="n">
        <v>7</v>
      </c>
      <c r="I11" s="4">
        <f>IF(B11&gt;TODAY(),"",COUNTIFS('Partner pipeline'!$R$5:$R$404,"&lt;="&amp;C11))</f>
        <v/>
      </c>
      <c r="J11" s="6" t="n">
        <v>85</v>
      </c>
      <c r="K11" s="7" t="n"/>
      <c r="L11" s="6" t="n">
        <v>45</v>
      </c>
      <c r="M11" s="7" t="n"/>
      <c r="N11" s="6" t="n">
        <v>3</v>
      </c>
      <c r="O11" s="7" t="n"/>
      <c r="P11" s="8" t="inlineStr">
        <is>
          <t>GTM/GA4/Meta IDs due 30 Nov</t>
        </is>
      </c>
    </row>
    <row r="12">
      <c r="A12" s="4" t="inlineStr">
        <is>
          <t>W7</t>
        </is>
      </c>
      <c r="B12" s="5" t="n">
        <v>46363</v>
      </c>
      <c r="C12" s="5">
        <f>B12+6</f>
        <v/>
      </c>
      <c r="D12" s="6" t="n">
        <v>315</v>
      </c>
      <c r="E12" s="4">
        <f>IF(B12&gt;TODAY(),"",COUNTIFS('Partner pipeline'!$J$5:$J$404,"&lt;="&amp;C12))</f>
        <v/>
      </c>
      <c r="F12" s="6" t="n">
        <v>15</v>
      </c>
      <c r="G12" s="4">
        <f>IF(B12&gt;TODAY(),"",COUNTIFS('Partner pipeline'!$O$5:$O$404,"&lt;="&amp;C12))</f>
        <v/>
      </c>
      <c r="H12" s="6" t="n">
        <v>8</v>
      </c>
      <c r="I12" s="4">
        <f>IF(B12&gt;TODAY(),"",COUNTIFS('Partner pipeline'!$R$5:$R$404,"&lt;="&amp;C12))</f>
        <v/>
      </c>
      <c r="J12" s="6" t="n">
        <v>107</v>
      </c>
      <c r="K12" s="7" t="n"/>
      <c r="L12" s="6" t="n">
        <v>58</v>
      </c>
      <c r="M12" s="7" t="n"/>
      <c r="N12" s="6" t="n">
        <v>4</v>
      </c>
      <c r="O12" s="7" t="n"/>
      <c r="P12" s="8" t="inlineStr"/>
    </row>
    <row r="13">
      <c r="A13" s="4" t="inlineStr">
        <is>
          <t>W8</t>
        </is>
      </c>
      <c r="B13" s="5" t="n">
        <v>46370</v>
      </c>
      <c r="C13" s="5">
        <f>B13+6</f>
        <v/>
      </c>
      <c r="D13" s="6" t="n">
        <v>370</v>
      </c>
      <c r="E13" s="4">
        <f>IF(B13&gt;TODAY(),"",COUNTIFS('Partner pipeline'!$J$5:$J$404,"&lt;="&amp;C13))</f>
        <v/>
      </c>
      <c r="F13" s="6" t="n">
        <v>18</v>
      </c>
      <c r="G13" s="4">
        <f>IF(B13&gt;TODAY(),"",COUNTIFS('Partner pipeline'!$O$5:$O$404,"&lt;="&amp;C13))</f>
        <v/>
      </c>
      <c r="H13" s="6" t="n">
        <v>10</v>
      </c>
      <c r="I13" s="4">
        <f>IF(B13&gt;TODAY(),"",COUNTIFS('Partner pipeline'!$R$5:$R$404,"&lt;="&amp;C13))</f>
        <v/>
      </c>
      <c r="J13" s="6" t="n">
        <v>130</v>
      </c>
      <c r="K13" s="7" t="n"/>
      <c r="L13" s="6" t="n">
        <v>72</v>
      </c>
      <c r="M13" s="7" t="n"/>
      <c r="N13" s="6" t="n">
        <v>5</v>
      </c>
      <c r="O13" s="7" t="n"/>
      <c r="P13" s="8" t="inlineStr">
        <is>
          <t>Black Friday content via partners</t>
        </is>
      </c>
    </row>
    <row r="14">
      <c r="A14" s="4" t="inlineStr">
        <is>
          <t>W9</t>
        </is>
      </c>
      <c r="B14" s="5" t="n">
        <v>46377</v>
      </c>
      <c r="C14" s="5">
        <f>B14+6</f>
        <v/>
      </c>
      <c r="D14" s="6" t="n">
        <v>425</v>
      </c>
      <c r="E14" s="4">
        <f>IF(B14&gt;TODAY(),"",COUNTIFS('Partner pipeline'!$J$5:$J$404,"&lt;="&amp;C14))</f>
        <v/>
      </c>
      <c r="F14" s="6" t="n">
        <v>20</v>
      </c>
      <c r="G14" s="4">
        <f>IF(B14&gt;TODAY(),"",COUNTIFS('Partner pipeline'!$O$5:$O$404,"&lt;="&amp;C14))</f>
        <v/>
      </c>
      <c r="H14" s="6" t="n">
        <v>11</v>
      </c>
      <c r="I14" s="4">
        <f>IF(B14&gt;TODAY(),"",COUNTIFS('Partner pipeline'!$R$5:$R$404,"&lt;="&amp;C14))</f>
        <v/>
      </c>
      <c r="J14" s="6" t="n">
        <v>152</v>
      </c>
      <c r="K14" s="7" t="n"/>
      <c r="L14" s="6" t="n">
        <v>83</v>
      </c>
      <c r="M14" s="7" t="n"/>
      <c r="N14" s="6" t="n">
        <v>7</v>
      </c>
      <c r="O14" s="7" t="n"/>
      <c r="P14" s="8" t="inlineStr">
        <is>
          <t>Holiday weeks: light outreach</t>
        </is>
      </c>
    </row>
    <row r="15">
      <c r="A15" s="4" t="inlineStr">
        <is>
          <t>W10</t>
        </is>
      </c>
      <c r="B15" s="5" t="n">
        <v>46384</v>
      </c>
      <c r="C15" s="5">
        <f>B15+6</f>
        <v/>
      </c>
      <c r="D15" s="6" t="n">
        <v>480</v>
      </c>
      <c r="E15" s="4">
        <f>IF(B15&gt;TODAY(),"",COUNTIFS('Partner pipeline'!$J$5:$J$404,"&lt;="&amp;C15))</f>
        <v/>
      </c>
      <c r="F15" s="6" t="n">
        <v>23</v>
      </c>
      <c r="G15" s="4">
        <f>IF(B15&gt;TODAY(),"",COUNTIFS('Partner pipeline'!$O$5:$O$404,"&lt;="&amp;C15))</f>
        <v/>
      </c>
      <c r="H15" s="6" t="n">
        <v>13</v>
      </c>
      <c r="I15" s="4">
        <f>IF(B15&gt;TODAY(),"",COUNTIFS('Partner pipeline'!$R$5:$R$404,"&lt;="&amp;C15))</f>
        <v/>
      </c>
      <c r="J15" s="6" t="n">
        <v>175</v>
      </c>
      <c r="K15" s="7" t="n"/>
      <c r="L15" s="6" t="n">
        <v>95</v>
      </c>
      <c r="M15" s="7" t="n"/>
      <c r="N15" s="6" t="n">
        <v>9</v>
      </c>
      <c r="O15" s="7" t="n"/>
      <c r="P15" s="8" t="inlineStr"/>
    </row>
    <row r="16">
      <c r="A16" s="4" t="inlineStr">
        <is>
          <t>W11</t>
        </is>
      </c>
      <c r="B16" s="5" t="n">
        <v>46391</v>
      </c>
      <c r="C16" s="5">
        <f>B16+6</f>
        <v/>
      </c>
      <c r="D16" s="6" t="n">
        <v>535</v>
      </c>
      <c r="E16" s="4">
        <f>IF(B16&gt;TODAY(),"",COUNTIFS('Partner pipeline'!$J$5:$J$404,"&lt;="&amp;C16))</f>
        <v/>
      </c>
      <c r="F16" s="6" t="n">
        <v>26</v>
      </c>
      <c r="G16" s="4">
        <f>IF(B16&gt;TODAY(),"",COUNTIFS('Partner pipeline'!$O$5:$O$404,"&lt;="&amp;C16))</f>
        <v/>
      </c>
      <c r="H16" s="6" t="n">
        <v>14</v>
      </c>
      <c r="I16" s="4">
        <f>IF(B16&gt;TODAY(),"",COUNTIFS('Partner pipeline'!$R$5:$R$404,"&lt;="&amp;C16))</f>
        <v/>
      </c>
      <c r="J16" s="6" t="n">
        <v>195</v>
      </c>
      <c r="K16" s="7" t="n"/>
      <c r="L16" s="6" t="n">
        <v>100</v>
      </c>
      <c r="M16" s="7" t="n"/>
      <c r="N16" s="6" t="n">
        <v>10</v>
      </c>
      <c r="O16" s="7" t="n"/>
      <c r="P16" s="8" t="inlineStr">
        <is>
          <t>Gate review: 100 activated + ≥5 paying + tracking live</t>
        </is>
      </c>
    </row>
    <row r="17">
      <c r="A17" s="4" t="inlineStr">
        <is>
          <t>W12</t>
        </is>
      </c>
      <c r="B17" s="5" t="n">
        <v>46398</v>
      </c>
      <c r="C17" s="5">
        <f>B17+6</f>
        <v/>
      </c>
      <c r="D17" s="6" t="n">
        <v>590</v>
      </c>
      <c r="E17" s="4">
        <f>IF(B17&gt;TODAY(),"",COUNTIFS('Partner pipeline'!$J$5:$J$404,"&lt;="&amp;C17))</f>
        <v/>
      </c>
      <c r="F17" s="6" t="n">
        <v>28</v>
      </c>
      <c r="G17" s="4">
        <f>IF(B17&gt;TODAY(),"",COUNTIFS('Partner pipeline'!$O$5:$O$404,"&lt;="&amp;C17))</f>
        <v/>
      </c>
      <c r="H17" s="6" t="n">
        <v>15</v>
      </c>
      <c r="I17" s="4">
        <f>IF(B17&gt;TODAY(),"",COUNTIFS('Partner pipeline'!$R$5:$R$404,"&lt;="&amp;C17))</f>
        <v/>
      </c>
      <c r="J17" s="6" t="n">
        <v>215</v>
      </c>
      <c r="K17" s="7" t="n"/>
      <c r="L17" s="6" t="n">
        <v>110</v>
      </c>
      <c r="M17" s="7" t="n"/>
      <c r="N17" s="6" t="n">
        <v>11</v>
      </c>
      <c r="O17" s="7" t="n"/>
      <c r="P17" s="8" t="inlineStr">
        <is>
          <t>Phase 2 (if gate passed): Instagram, then Meta ads ₺15k</t>
        </is>
      </c>
    </row>
    <row r="18">
      <c r="A18" s="4" t="inlineStr">
        <is>
          <t>W13</t>
        </is>
      </c>
      <c r="B18" s="5" t="n">
        <v>46405</v>
      </c>
      <c r="C18" s="5">
        <f>B18+6</f>
        <v/>
      </c>
      <c r="D18" s="6" t="n">
        <v>645</v>
      </c>
      <c r="E18" s="4">
        <f>IF(B18&gt;TODAY(),"",COUNTIFS('Partner pipeline'!$J$5:$J$404,"&lt;="&amp;C18))</f>
        <v/>
      </c>
      <c r="F18" s="6" t="n">
        <v>31</v>
      </c>
      <c r="G18" s="4">
        <f>IF(B18&gt;TODAY(),"",COUNTIFS('Partner pipeline'!$O$5:$O$404,"&lt;="&amp;C18))</f>
        <v/>
      </c>
      <c r="H18" s="6" t="n">
        <v>16</v>
      </c>
      <c r="I18" s="4">
        <f>IF(B18&gt;TODAY(),"",COUNTIFS('Partner pipeline'!$R$5:$R$404,"&lt;="&amp;C18))</f>
        <v/>
      </c>
      <c r="J18" s="6" t="n">
        <v>235</v>
      </c>
      <c r="K18" s="7" t="n"/>
      <c r="L18" s="6" t="n">
        <v>120</v>
      </c>
      <c r="M18" s="7" t="n"/>
      <c r="N18" s="6" t="n">
        <v>12</v>
      </c>
      <c r="O18" s="7" t="n"/>
      <c r="P18" s="8" t="inlineStr"/>
    </row>
    <row r="21">
      <c r="A21" s="9" t="inlineStr">
        <is>
          <t>Phase 2 gate (turkey-gameplan §4.9)</t>
        </is>
      </c>
    </row>
    <row r="22">
      <c r="A22" s="10" t="inlineStr">
        <is>
          <t>Activated users ≥ 100</t>
        </is>
      </c>
      <c r="E22" s="9">
        <f>IF(MAX(M6:M18)&gt;=100,"MET","not yet ("&amp;MAX(M6:M18)&amp;")")</f>
        <v/>
      </c>
    </row>
    <row r="23">
      <c r="A23" s="10" t="inlineStr">
        <is>
          <t>Paying customers ≥ 5</t>
        </is>
      </c>
      <c r="E23" s="9">
        <f>IF(MAX(O6:O18)&gt;=5,"MET","not yet ("&amp;MAX(O6:O18)&amp;")")</f>
        <v/>
      </c>
    </row>
    <row r="24">
      <c r="A24" s="10" t="inlineStr">
        <is>
          <t>GTM / GA4 / Meta IDs live (task T10)</t>
        </is>
      </c>
      <c r="E24" s="9">
        <f>IF(INDEX(Tasks!E:E,MATCH("T10",Tasks!A:A,0))="Done","MET","not yet")</f>
        <v/>
      </c>
    </row>
    <row r="25">
      <c r="A25" s="10" t="inlineStr">
        <is>
          <t>Cookie panel live</t>
        </is>
      </c>
      <c r="E25" s="9">
        <f>"MET (since 2026-10-17)"</f>
        <v/>
      </c>
    </row>
    <row r="26">
      <c r="A26" s="10" t="inlineStr">
        <is>
          <t>Attribution stored on the user (task T24)</t>
        </is>
      </c>
      <c r="E26" s="9">
        <f>IF(INDEX(Tasks!E:E,MATCH("T24",Tasks!A:A,0))="Done","MET","not yet")</f>
        <v/>
      </c>
    </row>
    <row r="29">
      <c r="A29" s="9" t="inlineStr">
        <is>
          <t>Partner pipeline by status</t>
        </is>
      </c>
    </row>
    <row r="30">
      <c r="A30" s="10" t="inlineStr">
        <is>
          <t>Shortlisted</t>
        </is>
      </c>
      <c r="C30" s="10">
        <f>COUNTIF('Partner pipeline'!$I$5:$I$404,A30)</f>
        <v/>
      </c>
    </row>
    <row r="31">
      <c r="A31" s="10" t="inlineStr">
        <is>
          <t>Contacted</t>
        </is>
      </c>
      <c r="C31" s="10">
        <f>COUNTIF('Partner pipeline'!$I$5:$I$404,A31)</f>
        <v/>
      </c>
    </row>
    <row r="32">
      <c r="A32" s="10" t="inlineStr">
        <is>
          <t>Replied</t>
        </is>
      </c>
      <c r="C32" s="10">
        <f>COUNTIF('Partner pipeline'!$I$5:$I$404,A32)</f>
        <v/>
      </c>
    </row>
    <row r="33">
      <c r="A33" s="10" t="inlineStr">
        <is>
          <t>Terms sent</t>
        </is>
      </c>
      <c r="C33" s="10">
        <f>COUNTIF('Partner pipeline'!$I$5:$I$404,A33)</f>
        <v/>
      </c>
    </row>
    <row r="34">
      <c r="A34" s="10" t="inlineStr">
        <is>
          <t>Signed</t>
        </is>
      </c>
      <c r="C34" s="10">
        <f>COUNTIF('Partner pipeline'!$I$5:$I$404,A34)</f>
        <v/>
      </c>
    </row>
    <row r="35">
      <c r="A35" s="10" t="inlineStr">
        <is>
          <t>Active</t>
        </is>
      </c>
      <c r="C35" s="10">
        <f>COUNTIF('Partner pipeline'!$I$5:$I$404,A35)</f>
        <v/>
      </c>
    </row>
    <row r="36">
      <c r="A36" s="10" t="inlineStr">
        <is>
          <t>Declined</t>
        </is>
      </c>
      <c r="C36" s="10">
        <f>COUNTIF('Partner pipeline'!$I$5:$I$404,A36)</f>
        <v/>
      </c>
    </row>
    <row r="37">
      <c r="A37" s="10" t="inlineStr">
        <is>
          <t>Opted out</t>
        </is>
      </c>
      <c r="C37" s="10">
        <f>COUNTIF('Partner pipeline'!$I$5:$I$404,A37)</f>
        <v/>
      </c>
    </row>
    <row r="38">
      <c r="A38" s="10" t="inlineStr">
        <is>
          <t>Paused</t>
        </is>
      </c>
      <c r="C38" s="10">
        <f>COUNTIF('Partner pipeline'!$I$5:$I$404,A38)</f>
        <v/>
      </c>
    </row>
    <row r="39">
      <c r="A39" s="10" t="inlineStr">
        <is>
          <t>Bounties pending ₺</t>
        </is>
      </c>
      <c r="C39" s="11">
        <f>SUM('Partner pipeline'!$X$5:$X$404)</f>
        <v/>
      </c>
    </row>
    <row r="40">
      <c r="A40" s="10" t="inlineStr">
        <is>
          <t>Bounties paid ₺</t>
        </is>
      </c>
      <c r="C40" s="11">
        <f>SUM('Partner pipeline'!$Y$5:$Y$404)</f>
        <v/>
      </c>
    </row>
    <row r="41">
      <c r="A41" s="10" t="inlineStr">
        <is>
          <t>Open tasks overdue</t>
        </is>
      </c>
      <c r="C41">
        <f>COUNTIF(Tasks!J:J,"OVERDUE")</f>
        <v/>
      </c>
    </row>
    <row r="42">
      <c r="A42" s="10" t="inlineStr">
        <is>
          <t>Tasks blocked</t>
        </is>
      </c>
      <c r="C42">
        <f>COUNTIF(Tasks!E:E,"Blocked")</f>
        <v/>
      </c>
    </row>
  </sheetData>
  <mergeCells count="19">
    <mergeCell ref="A23:D23"/>
    <mergeCell ref="A30:B30"/>
    <mergeCell ref="A22:D22"/>
    <mergeCell ref="A36:B36"/>
    <mergeCell ref="A37:B37"/>
    <mergeCell ref="E26:G26"/>
    <mergeCell ref="A24:D24"/>
    <mergeCell ref="E25:G25"/>
    <mergeCell ref="E22:G22"/>
    <mergeCell ref="A33:B33"/>
    <mergeCell ref="A32:B32"/>
    <mergeCell ref="A25:D25"/>
    <mergeCell ref="A35:B35"/>
    <mergeCell ref="E24:G24"/>
    <mergeCell ref="A38:B38"/>
    <mergeCell ref="E23:G23"/>
    <mergeCell ref="A26:D26"/>
    <mergeCell ref="A31:B31"/>
    <mergeCell ref="A34:B34"/>
  </mergeCells>
  <conditionalFormatting sqref="E6:E18">
    <cfRule type="expression" priority="1" dxfId="0">
      <formula>AND($C6&lt;TODAY(),E6&lt;&gt;"",D6&gt;0,E6&lt;0.8*D6)</formula>
    </cfRule>
    <cfRule type="expression" priority="2" dxfId="1">
      <formula>AND(E6&lt;&gt;"",D6&gt;0,E6&gt;=D6)</formula>
    </cfRule>
  </conditionalFormatting>
  <conditionalFormatting sqref="G6:G18">
    <cfRule type="expression" priority="3" dxfId="0">
      <formula>AND($C6&lt;TODAY(),G6&lt;&gt;"",F6&gt;0,G6&lt;0.8*F6)</formula>
    </cfRule>
    <cfRule type="expression" priority="4" dxfId="1">
      <formula>AND(G6&lt;&gt;"",F6&gt;0,G6&gt;=F6)</formula>
    </cfRule>
  </conditionalFormatting>
  <conditionalFormatting sqref="I6:I18">
    <cfRule type="expression" priority="5" dxfId="0">
      <formula>AND($C6&lt;TODAY(),I6&lt;&gt;"",H6&gt;0,I6&lt;0.8*H6)</formula>
    </cfRule>
    <cfRule type="expression" priority="6" dxfId="1">
      <formula>AND(I6&lt;&gt;"",H6&gt;0,I6&gt;=H6)</formula>
    </cfRule>
  </conditionalFormatting>
  <conditionalFormatting sqref="K6:K18">
    <cfRule type="expression" priority="7" dxfId="0">
      <formula>AND($C6&lt;TODAY(),K6&lt;&gt;"",J6&gt;0,K6&lt;0.8*J6)</formula>
    </cfRule>
    <cfRule type="expression" priority="8" dxfId="1">
      <formula>AND(K6&lt;&gt;"",J6&gt;0,K6&gt;=J6)</formula>
    </cfRule>
  </conditionalFormatting>
  <conditionalFormatting sqref="M6:M18">
    <cfRule type="expression" priority="9" dxfId="0">
      <formula>AND($C6&lt;TODAY(),M6&lt;&gt;"",L6&gt;0,M6&lt;0.8*L6)</formula>
    </cfRule>
    <cfRule type="expression" priority="10" dxfId="1">
      <formula>AND(M6&lt;&gt;"",L6&gt;0,M6&gt;=L6)</formula>
    </cfRule>
  </conditionalFormatting>
  <conditionalFormatting sqref="O6:O18">
    <cfRule type="expression" priority="11" dxfId="0">
      <formula>AND($C6&lt;TODAY(),O6&lt;&gt;"",N6&gt;0,O6&lt;0.8*N6)</formula>
    </cfRule>
    <cfRule type="expression" priority="12" dxfId="1">
      <formula>AND(O6&lt;&gt;"",N6&gt;0,O6&gt;=N6)</formula>
    </cfRule>
  </conditionalFormatting>
  <conditionalFormatting sqref="E22:E26">
    <cfRule type="expression" priority="13" dxfId="1">
      <formula>LEFT(E22,3)="MET"</formula>
    </cfRule>
    <cfRule type="expression" priority="14" dxfId="2">
      <formula>LEFT(E22,3)&lt;&gt;"MET"</formula>
    </cfRule>
  </conditionalFormatting>
  <conditionalFormatting sqref="C41">
    <cfRule type="expression" priority="15" dxfId="0">
      <formula>C41&gt;0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20" customWidth="1" min="3" max="3"/>
    <col width="12" customWidth="1" min="4" max="4"/>
    <col width="13" customWidth="1" min="5" max="5"/>
    <col width="9" customWidth="1" min="6" max="6"/>
    <col width="40" customWidth="1" min="7" max="7"/>
    <col width="14" customWidth="1" min="8" max="8"/>
    <col width="48" customWidth="1" min="9" max="9"/>
    <col width="10" customWidth="1" min="10" max="10"/>
  </cols>
  <sheetData>
    <row r="1">
      <c r="A1" s="1" t="inlineStr">
        <is>
          <t>Tasks</t>
        </is>
      </c>
    </row>
    <row r="2">
      <c r="A2" s="2" t="inlineStr">
        <is>
          <t>Edit any row. Owner / Status / Priority are dropdowns. 'Overdue' fills itself; overdue rows turn red. Add new tasks at the bottom (copy the formula in column J).</t>
        </is>
      </c>
    </row>
    <row r="4" ht="32" customHeight="1">
      <c r="A4" s="3" t="inlineStr">
        <is>
          <t>ID</t>
        </is>
      </c>
      <c r="B4" s="3" t="inlineStr">
        <is>
          <t>Task</t>
        </is>
      </c>
      <c r="C4" s="3" t="inlineStr">
        <is>
          <t>Owner</t>
        </is>
      </c>
      <c r="D4" s="3" t="inlineStr">
        <is>
          <t>Due</t>
        </is>
      </c>
      <c r="E4" s="3" t="inlineStr">
        <is>
          <t>Status</t>
        </is>
      </c>
      <c r="F4" s="3" t="inlineStr">
        <is>
          <t>Priority</t>
        </is>
      </c>
      <c r="G4" s="3" t="inlineStr">
        <is>
          <t>Link</t>
        </is>
      </c>
      <c r="H4" s="3" t="inlineStr">
        <is>
          <t>Depends on</t>
        </is>
      </c>
      <c r="I4" s="3" t="inlineStr">
        <is>
          <t>Notes</t>
        </is>
      </c>
      <c r="J4" s="3" t="inlineStr">
        <is>
          <t>Overdue?</t>
        </is>
      </c>
    </row>
    <row r="5">
      <c r="A5" s="4" t="inlineStr">
        <is>
          <t>T01</t>
        </is>
      </c>
      <c r="B5" s="8" t="inlineStr">
        <is>
          <t>Push the local docs commits to GitHub (git push origin main): gameplan, referral spec, pricing v2</t>
        </is>
      </c>
      <c r="C5" s="4" t="inlineStr">
        <is>
          <t>Atilla</t>
        </is>
      </c>
      <c r="D5" s="5" t="n">
        <v>46315</v>
      </c>
      <c r="E5" s="4" t="inlineStr">
        <is>
          <t>Not started</t>
        </is>
      </c>
      <c r="F5" s="4" t="inlineStr">
        <is>
          <t>P0</t>
        </is>
      </c>
      <c r="G5" s="4" t="inlineStr">
        <is>
          <t>https://github.com/bloodyteeths/kolayxport_supa/blob/main/docs/gtm/turkey-gameplan.md</t>
        </is>
      </c>
      <c r="H5" s="4" t="inlineStr"/>
      <c r="I5" s="8" t="inlineStr">
        <is>
          <t>Session pushes are blocked by permissions; docs only</t>
        </is>
      </c>
      <c r="J5" s="4">
        <f>IF(AND(D5&lt;&gt;"",D5&lt;TODAY(),E5&lt;&gt;"Done",E5&lt;&gt;"Cancelled"),"OVERDUE","")</f>
        <v/>
      </c>
    </row>
    <row r="6">
      <c r="A6" s="4" t="inlineStr">
        <is>
          <t>T02</t>
        </is>
      </c>
      <c r="B6" s="8" t="inlineStr">
        <is>
          <t>Share this ERP sheet with Merisa and Ekin</t>
        </is>
      </c>
      <c r="C6" s="4" t="inlineStr">
        <is>
          <t>Atilla</t>
        </is>
      </c>
      <c r="D6" s="5" t="n">
        <v>46316</v>
      </c>
      <c r="E6" s="4" t="inlineStr">
        <is>
          <t>Not started</t>
        </is>
      </c>
      <c r="F6" s="4" t="inlineStr">
        <is>
          <t>P0</t>
        </is>
      </c>
      <c r="G6" s="4" t="inlineStr"/>
      <c r="H6" s="4" t="inlineStr">
        <is>
          <t>T01</t>
        </is>
      </c>
      <c r="I6" s="8" t="inlineStr">
        <is>
          <t>Import the .xlsx into Google Sheets first</t>
        </is>
      </c>
      <c r="J6" s="4">
        <f>IF(AND(D6&lt;&gt;"",D6&lt;TODAY(),E6&lt;&gt;"Done",E6&lt;&gt;"Cancelled"),"OVERDUE","")</f>
        <v/>
      </c>
    </row>
    <row r="7">
      <c r="A7" s="4" t="inlineStr">
        <is>
          <t>T03</t>
        </is>
      </c>
      <c r="B7" s="8" t="inlineStr">
        <is>
          <t>Confirm Merisa's weekly hours (plan assumes ~20 h)</t>
        </is>
      </c>
      <c r="C7" s="4" t="inlineStr">
        <is>
          <t>Atilla</t>
        </is>
      </c>
      <c r="D7" s="5" t="n">
        <v>46319</v>
      </c>
      <c r="E7" s="4" t="inlineStr">
        <is>
          <t>Not started</t>
        </is>
      </c>
      <c r="F7" s="4" t="inlineStr">
        <is>
          <t>P1</t>
        </is>
      </c>
      <c r="G7" s="4" t="inlineStr">
        <is>
          <t>https://github.com/bloodyteeths/kolayxport_supa/blob/main/docs/gtm/turkey-gameplan.md</t>
        </is>
      </c>
      <c r="H7" s="4" t="inlineStr"/>
      <c r="I7" s="8" t="inlineStr">
        <is>
          <t>Ekin = ~15 h/week (decided 19 Oct)</t>
        </is>
      </c>
      <c r="J7" s="4">
        <f>IF(AND(D7&lt;&gt;"",D7&lt;TODAY(),E7&lt;&gt;"Done",E7&lt;&gt;"Cancelled"),"OVERDUE","")</f>
        <v/>
      </c>
    </row>
    <row r="8">
      <c r="A8" s="4" t="inlineStr">
        <is>
          <t>T04</t>
        </is>
      </c>
      <c r="B8" s="8" t="inlineStr">
        <is>
          <t>Phone-verify the YouTube channel (lifts upload cap, makes description links clickable)</t>
        </is>
      </c>
      <c r="C8" s="4" t="inlineStr">
        <is>
          <t>Atilla</t>
        </is>
      </c>
      <c r="D8" s="5" t="n">
        <v>46321</v>
      </c>
      <c r="E8" s="4" t="inlineStr">
        <is>
          <t>Not started</t>
        </is>
      </c>
      <c r="F8" s="4" t="inlineStr">
        <is>
          <t>P0</t>
        </is>
      </c>
      <c r="G8" s="4" t="inlineStr">
        <is>
          <t>https://studio.youtube.com</t>
        </is>
      </c>
      <c r="H8" s="4" t="inlineStr"/>
      <c r="I8" s="8" t="inlineStr"/>
      <c r="J8" s="4">
        <f>IF(AND(D8&lt;&gt;"",D8&lt;TODAY(),E8&lt;&gt;"Done",E8&lt;&gt;"Cancelled"),"OVERDUE","")</f>
        <v/>
      </c>
    </row>
    <row r="9">
      <c r="A9" s="4" t="inlineStr">
        <is>
          <t>T05</t>
        </is>
      </c>
      <c r="B9" s="8" t="inlineStr">
        <is>
          <t>Confirm pricing v2 package prices (Başlangıç / Büyüme / Pro / Kurumsal, Aylık)</t>
        </is>
      </c>
      <c r="C9" s="4" t="inlineStr">
        <is>
          <t>Atilla</t>
        </is>
      </c>
      <c r="D9" s="5" t="n">
        <v>46321</v>
      </c>
      <c r="E9" s="4" t="inlineStr">
        <is>
          <t>Done</t>
        </is>
      </c>
      <c r="F9" s="4" t="inlineStr">
        <is>
          <t>P0</t>
        </is>
      </c>
      <c r="G9" s="4" t="inlineStr">
        <is>
          <t>https://github.com/bloodyteeths/kolayxport_supa/blob/main/docs/gtm/pricing-v2.md</t>
        </is>
      </c>
      <c r="H9" s="4" t="inlineStr"/>
      <c r="I9" s="8" t="inlineStr">
        <is>
          <t>Confirmed 19 Oct 19:48 via command board</t>
        </is>
      </c>
      <c r="J9" s="4">
        <f>IF(AND(D9&lt;&gt;"",D9&lt;TODAY(),E9&lt;&gt;"Done",E9&lt;&gt;"Cancelled"),"OVERDUE","")</f>
        <v/>
      </c>
    </row>
    <row r="10">
      <c r="A10" s="4" t="inlineStr">
        <is>
          <t>T05b</t>
        </is>
      </c>
      <c r="B10" s="8" t="inlineStr">
        <is>
          <t>Confirm pricing v2 module prices (finance, arbitrage, photo studio, extra store/orders)</t>
        </is>
      </c>
      <c r="C10" s="4" t="inlineStr">
        <is>
          <t>Atilla</t>
        </is>
      </c>
      <c r="D10" s="5" t="n">
        <v>46326</v>
      </c>
      <c r="E10" s="4" t="inlineStr">
        <is>
          <t>Not started</t>
        </is>
      </c>
      <c r="F10" s="4" t="inlineStr">
        <is>
          <t>P1</t>
        </is>
      </c>
      <c r="G10" s="4" t="inlineStr">
        <is>
          <t>https://github.com/bloodyteeths/kolayxport_supa/blob/main/docs/gtm/pricing-v2.md</t>
        </is>
      </c>
      <c r="H10" s="4" t="inlineStr"/>
      <c r="I10" s="8" t="inlineStr">
        <is>
          <t>Still a proposal</t>
        </is>
      </c>
      <c r="J10" s="4">
        <f>IF(AND(D10&lt;&gt;"",D10&lt;TODAY(),E10&lt;&gt;"Done",E10&lt;&gt;"Cancelled"),"OVERDUE","")</f>
        <v/>
      </c>
    </row>
    <row r="11">
      <c r="A11" s="4" t="inlineStr">
        <is>
          <t>T06</t>
        </is>
      </c>
      <c r="B11" s="8" t="inlineStr">
        <is>
          <t>Take the 4 accountant questions (seller of record + KDV, partner payout paperwork, deductibility)</t>
        </is>
      </c>
      <c r="C11" s="4" t="inlineStr">
        <is>
          <t>Atilla</t>
        </is>
      </c>
      <c r="D11" s="5" t="n">
        <v>46326</v>
      </c>
      <c r="E11" s="4" t="inlineStr">
        <is>
          <t>Not started</t>
        </is>
      </c>
      <c r="F11" s="4" t="inlineStr">
        <is>
          <t>P0</t>
        </is>
      </c>
      <c r="G11" s="4" t="inlineStr">
        <is>
          <t>https://github.com/bloodyteeths/kolayxport_supa/blob/main/docs/gtm/pricing-v2.md</t>
        </is>
      </c>
      <c r="H11" s="4" t="inlineStr"/>
      <c r="I11" s="8" t="inlineStr">
        <is>
          <t>pricing-v2 §5. Decides iyzico/PayTR entity</t>
        </is>
      </c>
      <c r="J11" s="4">
        <f>IF(AND(D11&lt;&gt;"",D11&lt;TODAY(),E11&lt;&gt;"Done",E11&lt;&gt;"Cancelled"),"OVERDUE","")</f>
        <v/>
      </c>
    </row>
    <row r="12">
      <c r="A12" s="4" t="inlineStr">
        <is>
          <t>T07</t>
        </is>
      </c>
      <c r="B12" s="8" t="inlineStr">
        <is>
          <t>Accountant answers the 4 questions</t>
        </is>
      </c>
      <c r="C12" s="4" t="inlineStr">
        <is>
          <t>Accountant</t>
        </is>
      </c>
      <c r="D12" s="5" t="n">
        <v>46333</v>
      </c>
      <c r="E12" s="4" t="inlineStr">
        <is>
          <t>Waiting</t>
        </is>
      </c>
      <c r="F12" s="4" t="inlineStr">
        <is>
          <t>P0</t>
        </is>
      </c>
      <c r="G12" s="4" t="inlineStr">
        <is>
          <t>https://github.com/bloodyteeths/kolayxport_supa/blob/main/docs/gtm/pricing-v2.md</t>
        </is>
      </c>
      <c r="H12" s="4" t="inlineStr">
        <is>
          <t>T06</t>
        </is>
      </c>
      <c r="I12" s="8" t="inlineStr"/>
      <c r="J12" s="4">
        <f>IF(AND(D12&lt;&gt;"",D12&lt;TODAY(),E12&lt;&gt;"Done",E12&lt;&gt;"Cancelled"),"OVERDUE","")</f>
        <v/>
      </c>
    </row>
    <row r="13">
      <c r="A13" s="4" t="inlineStr">
        <is>
          <t>T08</t>
        </is>
      </c>
      <c r="B13" s="8" t="inlineStr">
        <is>
          <t>OK to switch the tutorials Unlisted → Public</t>
        </is>
      </c>
      <c r="C13" s="4" t="inlineStr">
        <is>
          <t>Atilla</t>
        </is>
      </c>
      <c r="D13" s="5" t="n">
        <v>46328</v>
      </c>
      <c r="E13" s="4" t="inlineStr">
        <is>
          <t>Not started</t>
        </is>
      </c>
      <c r="F13" s="4" t="inlineStr">
        <is>
          <t>P1</t>
        </is>
      </c>
      <c r="G13" s="4" t="inlineStr">
        <is>
          <t>https://studio.youtube.com</t>
        </is>
      </c>
      <c r="H13" s="4" t="inlineStr">
        <is>
          <t>T04</t>
        </is>
      </c>
      <c r="I13" s="8" t="inlineStr"/>
      <c r="J13" s="4">
        <f>IF(AND(D13&lt;&gt;"",D13&lt;TODAY(),E13&lt;&gt;"Done",E13&lt;&gt;"Cancelled"),"OVERDUE","")</f>
        <v/>
      </c>
    </row>
    <row r="14">
      <c r="A14" s="4" t="inlineStr">
        <is>
          <t>T09</t>
        </is>
      </c>
      <c r="B14" s="8" t="inlineStr">
        <is>
          <t>Create the Stripe partner coupon(s) and set STRIPE_PARTNER_COUPON_ID via stdin</t>
        </is>
      </c>
      <c r="C14" s="4" t="inlineStr">
        <is>
          <t>Atilla</t>
        </is>
      </c>
      <c r="D14" s="5" t="n">
        <v>46328</v>
      </c>
      <c r="E14" s="4" t="inlineStr">
        <is>
          <t>Not started</t>
        </is>
      </c>
      <c r="F14" s="4" t="inlineStr">
        <is>
          <t>P0</t>
        </is>
      </c>
      <c r="G14" s="4" t="inlineStr">
        <is>
          <t>https://dashboard.stripe.com/coupons</t>
        </is>
      </c>
      <c r="H14" s="4" t="inlineStr"/>
      <c r="I14" s="8" t="inlineStr">
        <is>
          <t>20% once on yearly / repeating 3 months on Aylık</t>
        </is>
      </c>
      <c r="J14" s="4">
        <f>IF(AND(D14&lt;&gt;"",D14&lt;TODAY(),E14&lt;&gt;"Done",E14&lt;&gt;"Cancelled"),"OVERDUE","")</f>
        <v/>
      </c>
    </row>
    <row r="15">
      <c r="A15" s="4" t="inlineStr">
        <is>
          <t>T10</t>
        </is>
      </c>
      <c r="B15" s="8" t="inlineStr">
        <is>
          <t>Create GTM container + GA4 + Meta pixel IDs and set them in the Hetzner .env</t>
        </is>
      </c>
      <c r="C15" s="4" t="inlineStr">
        <is>
          <t>Atilla</t>
        </is>
      </c>
      <c r="D15" s="5" t="n">
        <v>46356</v>
      </c>
      <c r="E15" s="4" t="inlineStr">
        <is>
          <t>Not started</t>
        </is>
      </c>
      <c r="F15" s="4" t="inlineStr">
        <is>
          <t>P0</t>
        </is>
      </c>
      <c r="G15" s="4" t="inlineStr">
        <is>
          <t>https://github.com/bloodyteeths/kolayxport_supa/blob/main/docs/gtm/tracking/README.md</t>
        </is>
      </c>
      <c r="H15" s="4" t="inlineStr"/>
      <c r="I15" s="8" t="inlineStr">
        <is>
          <t>Phase 2 gate</t>
        </is>
      </c>
      <c r="J15" s="4">
        <f>IF(AND(D15&lt;&gt;"",D15&lt;TODAY(),E15&lt;&gt;"Done",E15&lt;&gt;"Cancelled"),"OVERDUE","")</f>
        <v/>
      </c>
    </row>
    <row r="16">
      <c r="A16" s="4" t="inlineStr">
        <is>
          <t>T11</t>
        </is>
      </c>
      <c r="B16" s="8" t="inlineStr">
        <is>
          <t>Enable Stripe Global Payouts on the Tamsar, Inc. account</t>
        </is>
      </c>
      <c r="C16" s="4" t="inlineStr">
        <is>
          <t>Atilla</t>
        </is>
      </c>
      <c r="D16" s="5" t="n">
        <v>46376</v>
      </c>
      <c r="E16" s="4" t="inlineStr">
        <is>
          <t>Not started</t>
        </is>
      </c>
      <c r="F16" s="4" t="inlineStr">
        <is>
          <t>P1</t>
        </is>
      </c>
      <c r="G16" s="4" t="inlineStr">
        <is>
          <t>https://dashboard.stripe.com</t>
        </is>
      </c>
      <c r="H16" s="4" t="inlineStr">
        <is>
          <t>T07</t>
        </is>
      </c>
      <c r="I16" s="8" t="inlineStr">
        <is>
          <t>Before the first payout run (5 Jan)</t>
        </is>
      </c>
      <c r="J16" s="4">
        <f>IF(AND(D16&lt;&gt;"",D16&lt;TODAY(),E16&lt;&gt;"Done",E16&lt;&gt;"Cancelled"),"OVERDUE","")</f>
        <v/>
      </c>
    </row>
    <row r="17">
      <c r="A17" s="4" t="inlineStr">
        <is>
          <t>T12</t>
        </is>
      </c>
      <c r="B17" s="8" t="inlineStr">
        <is>
          <t>Follow up Hepsiburada integrator ticket 1-404875606841365</t>
        </is>
      </c>
      <c r="C17" s="4" t="inlineStr">
        <is>
          <t>Atilla</t>
        </is>
      </c>
      <c r="D17" s="5" t="n">
        <v>46316</v>
      </c>
      <c r="E17" s="4" t="inlineStr">
        <is>
          <t>Waiting</t>
        </is>
      </c>
      <c r="F17" s="4" t="inlineStr">
        <is>
          <t>P1</t>
        </is>
      </c>
      <c r="G17" s="4" t="inlineStr"/>
      <c r="H17" s="4" t="inlineStr"/>
      <c r="I17" s="8" t="inlineStr">
        <is>
          <t>Planned close 21 Oct (Satıcı Paneli › Destek Kayıtlarım)</t>
        </is>
      </c>
      <c r="J17" s="4">
        <f>IF(AND(D17&lt;&gt;"",D17&lt;TODAY(),E17&lt;&gt;"Done",E17&lt;&gt;"Cancelled"),"OVERDUE","")</f>
        <v/>
      </c>
    </row>
    <row r="18">
      <c r="A18" s="4" t="inlineStr">
        <is>
          <t>T13</t>
        </is>
      </c>
      <c r="B18" s="8" t="inlineStr">
        <is>
          <t>Hire a Bionluk freelancer for list-building (120 groups + 60 X/YouTube)</t>
        </is>
      </c>
      <c r="C18" s="4" t="inlineStr">
        <is>
          <t>Merisa</t>
        </is>
      </c>
      <c r="D18" s="5" t="n">
        <v>46322</v>
      </c>
      <c r="E18" s="4" t="inlineStr">
        <is>
          <t>Not started</t>
        </is>
      </c>
      <c r="F18" s="4" t="inlineStr">
        <is>
          <t>P0</t>
        </is>
      </c>
      <c r="G18" s="4" t="inlineStr">
        <is>
          <t>https://github.com/bloodyteeths/kolayxport_supa/blob/main/docs/gtm/turkey-gameplan.md</t>
        </is>
      </c>
      <c r="H18" s="4" t="inlineStr"/>
      <c r="I18" s="8" t="inlineStr">
        <is>
          <t>Budget ₺4–6k; brief in gameplan §4.4</t>
        </is>
      </c>
      <c r="J18" s="4">
        <f>IF(AND(D18&lt;&gt;"",D18&lt;TODAY(),E18&lt;&gt;"Done",E18&lt;&gt;"Cancelled"),"OVERDUE","")</f>
        <v/>
      </c>
    </row>
    <row r="19">
      <c r="A19" s="4" t="inlineStr">
        <is>
          <t>T14</t>
        </is>
      </c>
      <c r="B19" s="8" t="inlineStr">
        <is>
          <t>Shortlist + score 110 FB/Telegram groups and 20 müşavirler in Partner pipeline</t>
        </is>
      </c>
      <c r="C19" s="4" t="inlineStr">
        <is>
          <t>Merisa</t>
        </is>
      </c>
      <c r="D19" s="5" t="n">
        <v>46325</v>
      </c>
      <c r="E19" s="4" t="inlineStr">
        <is>
          <t>Not started</t>
        </is>
      </c>
      <c r="F19" s="4" t="inlineStr">
        <is>
          <t>P0</t>
        </is>
      </c>
      <c r="G19" s="4" t="inlineStr"/>
      <c r="H19" s="4" t="inlineStr">
        <is>
          <t>T13</t>
        </is>
      </c>
      <c r="I19" s="8" t="inlineStr">
        <is>
          <t>Scoring rubric: gameplan §4.4</t>
        </is>
      </c>
      <c r="J19" s="4">
        <f>IF(AND(D19&lt;&gt;"",D19&lt;TODAY(),E19&lt;&gt;"Done",E19&lt;&gt;"Cancelled"),"OVERDUE","")</f>
        <v/>
      </c>
    </row>
    <row r="20">
      <c r="A20" s="4" t="inlineStr">
        <is>
          <t>T15</t>
        </is>
      </c>
      <c r="B20" s="8" t="inlineStr">
        <is>
          <t>Shortlist + score 50 X accounts and 20 YouTube channels in Partner pipeline</t>
        </is>
      </c>
      <c r="C20" s="4" t="inlineStr">
        <is>
          <t>Ekin</t>
        </is>
      </c>
      <c r="D20" s="5" t="n">
        <v>46325</v>
      </c>
      <c r="E20" s="4" t="inlineStr">
        <is>
          <t>Not started</t>
        </is>
      </c>
      <c r="F20" s="4" t="inlineStr">
        <is>
          <t>P0</t>
        </is>
      </c>
      <c r="G20" s="4" t="inlineStr"/>
      <c r="H20" s="4" t="inlineStr"/>
      <c r="I20" s="8" t="inlineStr"/>
      <c r="J20" s="4">
        <f>IF(AND(D20&lt;&gt;"",D20&lt;TODAY(),E20&lt;&gt;"Done",E20&lt;&gt;"Cancelled"),"OVERDUE","")</f>
        <v/>
      </c>
    </row>
    <row r="21">
      <c r="A21" s="4" t="inlineStr">
        <is>
          <t>T16</t>
        </is>
      </c>
      <c r="B21" s="8" t="inlineStr">
        <is>
          <t>Week 1: 15 helpful answers in target groups (no links)</t>
        </is>
      </c>
      <c r="C21" s="4" t="inlineStr">
        <is>
          <t>Merisa</t>
        </is>
      </c>
      <c r="D21" s="5" t="n">
        <v>46325</v>
      </c>
      <c r="E21" s="4" t="inlineStr">
        <is>
          <t>Not started</t>
        </is>
      </c>
      <c r="F21" s="4" t="inlineStr">
        <is>
          <t>P1</t>
        </is>
      </c>
      <c r="G21" s="4" t="inlineStr"/>
      <c r="H21" s="4" t="inlineStr"/>
      <c r="I21" s="8" t="inlineStr"/>
      <c r="J21" s="4">
        <f>IF(AND(D21&lt;&gt;"",D21&lt;TODAY(),E21&lt;&gt;"Done",E21&lt;&gt;"Cancelled"),"OVERDUE","")</f>
        <v/>
      </c>
    </row>
    <row r="22">
      <c r="A22" s="4" t="inlineStr">
        <is>
          <t>T17</t>
        </is>
      </c>
      <c r="B22" s="8" t="inlineStr">
        <is>
          <t>Week 1: 15 helpful X replies on e-ihracat threads</t>
        </is>
      </c>
      <c r="C22" s="4" t="inlineStr">
        <is>
          <t>Ekin</t>
        </is>
      </c>
      <c r="D22" s="5" t="n">
        <v>46325</v>
      </c>
      <c r="E22" s="4" t="inlineStr">
        <is>
          <t>Not started</t>
        </is>
      </c>
      <c r="F22" s="4" t="inlineStr">
        <is>
          <t>P1</t>
        </is>
      </c>
      <c r="G22" s="4" t="inlineStr"/>
      <c r="H22" s="4" t="inlineStr"/>
      <c r="I22" s="8" t="inlineStr"/>
      <c r="J22" s="4">
        <f>IF(AND(D22&lt;&gt;"",D22&lt;TODAY(),E22&lt;&gt;"Done",E22&lt;&gt;"Cancelled"),"OVERDUE","")</f>
        <v/>
      </c>
    </row>
    <row r="23">
      <c r="A23" s="4" t="inlineStr">
        <is>
          <t>T18</t>
        </is>
      </c>
      <c r="B23" s="8" t="inlineStr">
        <is>
          <t>Manual prod check of referral Stage A: open /?ref=TEST-PARTNER, sign up, see 1 signup in /admin/partners, then delete test data</t>
        </is>
      </c>
      <c r="C23" s="4" t="inlineStr">
        <is>
          <t>Merisa</t>
        </is>
      </c>
      <c r="D23" s="5" t="n">
        <v>46319</v>
      </c>
      <c r="E23" s="4" t="inlineStr">
        <is>
          <t>Not started</t>
        </is>
      </c>
      <c r="F23" s="4" t="inlineStr">
        <is>
          <t>P0</t>
        </is>
      </c>
      <c r="G23" s="4" t="inlineStr">
        <is>
          <t>https://kolayxport.com/admin/partners</t>
        </is>
      </c>
      <c r="H23" s="4" t="inlineStr"/>
      <c r="I23" s="8" t="inlineStr">
        <is>
          <t>With Claude d7; see Tests Q01</t>
        </is>
      </c>
      <c r="J23" s="4">
        <f>IF(AND(D23&lt;&gt;"",D23&lt;TODAY(),E23&lt;&gt;"Done",E23&lt;&gt;"Cancelled"),"OVERDUE","")</f>
        <v/>
      </c>
    </row>
    <row r="24">
      <c r="A24" s="4" t="inlineStr">
        <is>
          <t>T19</t>
        </is>
      </c>
      <c r="B24" s="8" t="inlineStr">
        <is>
          <t>Send the first partner messages (Varyant 5 / 6)</t>
        </is>
      </c>
      <c r="C24" s="4" t="inlineStr">
        <is>
          <t>Merisa</t>
        </is>
      </c>
      <c r="D24" s="5" t="n">
        <v>46328</v>
      </c>
      <c r="E24" s="4" t="inlineStr">
        <is>
          <t>Not started</t>
        </is>
      </c>
      <c r="F24" s="4" t="inlineStr">
        <is>
          <t>P0</t>
        </is>
      </c>
      <c r="G24" s="4" t="inlineStr">
        <is>
          <t>https://github.com/bloodyteeths/kolayxport_supa/blob/main/docs/gtm/turkey-gameplan.md</t>
        </is>
      </c>
      <c r="H24" s="4" t="inlineStr">
        <is>
          <t>T09, T18</t>
        </is>
      </c>
      <c r="I24" s="8" t="inlineStr">
        <is>
          <t>Only after tracking is confirmed</t>
        </is>
      </c>
      <c r="J24" s="4">
        <f>IF(AND(D24&lt;&gt;"",D24&lt;TODAY(),E24&lt;&gt;"Done",E24&lt;&gt;"Cancelled"),"OVERDUE","")</f>
        <v/>
      </c>
    </row>
    <row r="25">
      <c r="A25" s="4" t="inlineStr">
        <is>
          <t>T20</t>
        </is>
      </c>
      <c r="B25" s="8" t="inlineStr">
        <is>
          <t>Fact-check the blog posts (2 a week)</t>
        </is>
      </c>
      <c r="C25" s="4" t="inlineStr">
        <is>
          <t>Merisa</t>
        </is>
      </c>
      <c r="D25" s="5" t="n">
        <v>46329</v>
      </c>
      <c r="E25" s="4" t="inlineStr">
        <is>
          <t>Not started</t>
        </is>
      </c>
      <c r="F25" s="4" t="inlineStr">
        <is>
          <t>P1</t>
        </is>
      </c>
      <c r="G25" s="4" t="inlineStr">
        <is>
          <t>https://github.com/bloodyteeths/kolayxport_supa/blob/main/docs/gtm/seo/content-calendar.md</t>
        </is>
      </c>
      <c r="H25" s="4" t="inlineStr"/>
      <c r="I25" s="8" t="inlineStr">
        <is>
          <t>Recurring every Tue/Thu</t>
        </is>
      </c>
      <c r="J25" s="4">
        <f>IF(AND(D25&lt;&gt;"",D25&lt;TODAY(),E25&lt;&gt;"Done",E25&lt;&gt;"Cancelled"),"OVERDUE","")</f>
        <v/>
      </c>
    </row>
    <row r="26">
      <c r="A26" s="4" t="inlineStr">
        <is>
          <t>T21</t>
        </is>
      </c>
      <c r="B26" s="8" t="inlineStr">
        <is>
          <t>First live demo in a partner group (scripted, 30 min)</t>
        </is>
      </c>
      <c r="C26" s="4" t="inlineStr">
        <is>
          <t>Merisa</t>
        </is>
      </c>
      <c r="D26" s="5" t="n">
        <v>46344</v>
      </c>
      <c r="E26" s="4" t="inlineStr">
        <is>
          <t>Not started</t>
        </is>
      </c>
      <c r="F26" s="4" t="inlineStr">
        <is>
          <t>P1</t>
        </is>
      </c>
      <c r="G26" s="4" t="inlineStr"/>
      <c r="H26" s="4" t="inlineStr"/>
      <c r="I26" s="8" t="inlineStr"/>
      <c r="J26" s="4">
        <f>IF(AND(D26&lt;&gt;"",D26&lt;TODAY(),E26&lt;&gt;"Done",E26&lt;&gt;"Cancelled"),"OVERDUE","")</f>
        <v/>
      </c>
    </row>
    <row r="27">
      <c r="A27" s="4" t="inlineStr">
        <is>
          <t>T22</t>
        </is>
      </c>
      <c r="B27" s="8" t="inlineStr">
        <is>
          <t>Ask the first paying customers for written testimonial consent</t>
        </is>
      </c>
      <c r="C27" s="4" t="inlineStr">
        <is>
          <t>Merisa</t>
        </is>
      </c>
      <c r="D27" s="5" t="n">
        <v>46365</v>
      </c>
      <c r="E27" s="4" t="inlineStr">
        <is>
          <t>Not started</t>
        </is>
      </c>
      <c r="F27" s="4" t="inlineStr">
        <is>
          <t>P2</t>
        </is>
      </c>
      <c r="G27" s="4" t="inlineStr">
        <is>
          <t>https://github.com/bloodyteeths/kolayxport_supa/blob/main/docs/gtm/social/legal-notes.md</t>
        </is>
      </c>
      <c r="H27" s="4" t="inlineStr"/>
      <c r="I27" s="8" t="inlineStr"/>
      <c r="J27" s="4">
        <f>IF(AND(D27&lt;&gt;"",D27&lt;TODAY(),E27&lt;&gt;"Done",E27&lt;&gt;"Cancelled"),"OVERDUE","")</f>
        <v/>
      </c>
    </row>
    <row r="28">
      <c r="A28" s="4" t="inlineStr">
        <is>
          <t>T23</t>
        </is>
      </c>
      <c r="B28" s="8" t="inlineStr">
        <is>
          <t>Phase 2: start Instagram organic (only if the gate passed)</t>
        </is>
      </c>
      <c r="C28" s="4" t="inlineStr">
        <is>
          <t>Ekin</t>
        </is>
      </c>
      <c r="D28" s="5" t="n">
        <v>46398</v>
      </c>
      <c r="E28" s="4" t="inlineStr">
        <is>
          <t>Not started</t>
        </is>
      </c>
      <c r="F28" s="4" t="inlineStr">
        <is>
          <t>P2</t>
        </is>
      </c>
      <c r="G28" s="4" t="inlineStr">
        <is>
          <t>https://github.com/bloodyteeths/kolayxport_supa/blob/main/docs/gtm/social/calendar-30d.md</t>
        </is>
      </c>
      <c r="H28" s="4" t="inlineStr">
        <is>
          <t>Gate</t>
        </is>
      </c>
      <c r="I28" s="8" t="inlineStr"/>
      <c r="J28" s="4">
        <f>IF(AND(D28&lt;&gt;"",D28&lt;TODAY(),E28&lt;&gt;"Done",E28&lt;&gt;"Cancelled"),"OVERDUE","")</f>
        <v/>
      </c>
    </row>
    <row r="29">
      <c r="A29" s="4" t="inlineStr">
        <is>
          <t>T24</t>
        </is>
      </c>
      <c r="B29" s="8" t="inlineStr">
        <is>
          <t>Referral Stage A (capture, claim, admin report)</t>
        </is>
      </c>
      <c r="C29" s="4" t="inlineStr">
        <is>
          <t>Claude: d7 (dev)</t>
        </is>
      </c>
      <c r="D29" s="5" t="n">
        <v>46314</v>
      </c>
      <c r="E29" s="4" t="inlineStr">
        <is>
          <t>Done</t>
        </is>
      </c>
      <c r="F29" s="4" t="inlineStr">
        <is>
          <t>P0</t>
        </is>
      </c>
      <c r="G29" s="4" t="inlineStr">
        <is>
          <t>https://github.com/bloodyteeths/kolayxport_supa/blob/main/docs/gtm/referral-spec.md</t>
        </is>
      </c>
      <c r="H29" s="4" t="inlineStr"/>
      <c r="I29" s="8" t="inlineStr">
        <is>
          <t>Deployed b6ee9895</t>
        </is>
      </c>
      <c r="J29" s="4">
        <f>IF(AND(D29&lt;&gt;"",D29&lt;TODAY(),E29&lt;&gt;"Done",E29&lt;&gt;"Cancelled"),"OVERDUE","")</f>
        <v/>
      </c>
    </row>
    <row r="30">
      <c r="A30" s="4" t="inlineStr">
        <is>
          <t>T25</t>
        </is>
      </c>
      <c r="B30" s="8" t="inlineStr">
        <is>
          <t>Referral Stage B (bounty ledger, /app/ortaklik, Stripe Global Payouts)</t>
        </is>
      </c>
      <c r="C30" s="4" t="inlineStr">
        <is>
          <t>Claude: d7 (dev)</t>
        </is>
      </c>
      <c r="D30" s="5" t="n">
        <v>46333</v>
      </c>
      <c r="E30" s="4" t="inlineStr">
        <is>
          <t>In progress</t>
        </is>
      </c>
      <c r="F30" s="4" t="inlineStr">
        <is>
          <t>P0</t>
        </is>
      </c>
      <c r="G30" s="4" t="inlineStr">
        <is>
          <t>https://github.com/bloodyteeths/kolayxport_supa/blob/main/docs/gtm/referral-spec.md</t>
        </is>
      </c>
      <c r="H30" s="4" t="inlineStr">
        <is>
          <t>T09</t>
        </is>
      </c>
      <c r="I30" s="8" t="inlineStr">
        <is>
          <t>Spec §3–6</t>
        </is>
      </c>
      <c r="J30" s="4">
        <f>IF(AND(D30&lt;&gt;"",D30&lt;TODAY(),E30&lt;&gt;"Done",E30&lt;&gt;"Cancelled"),"OVERDUE","")</f>
        <v/>
      </c>
    </row>
    <row r="31">
      <c r="A31" s="4" t="inlineStr">
        <is>
          <t>T26</t>
        </is>
      </c>
      <c r="B31" s="8" t="inlineStr">
        <is>
          <t>Pricing v2 P1: plan keys, yearly limits, modules</t>
        </is>
      </c>
      <c r="C31" s="4" t="inlineStr">
        <is>
          <t>Claude: to assign</t>
        </is>
      </c>
      <c r="D31" s="5" t="n">
        <v>46341</v>
      </c>
      <c r="E31" s="4" t="inlineStr">
        <is>
          <t>Not started</t>
        </is>
      </c>
      <c r="F31" s="4" t="inlineStr">
        <is>
          <t>P0</t>
        </is>
      </c>
      <c r="G31" s="4" t="inlineStr">
        <is>
          <t>https://github.com/bloodyteeths/kolayxport_supa/blob/main/docs/gtm/pricing-v2.md</t>
        </is>
      </c>
      <c r="H31" s="4" t="inlineStr">
        <is>
          <t>T05b (modules only)</t>
        </is>
      </c>
      <c r="I31" s="8" t="inlineStr">
        <is>
          <t>Package prices decided; can start</t>
        </is>
      </c>
      <c r="J31" s="4">
        <f>IF(AND(D31&lt;&gt;"",D31&lt;TODAY(),E31&lt;&gt;"Done",E31&lt;&gt;"Cancelled"),"OVERDUE","")</f>
        <v/>
      </c>
    </row>
    <row r="32">
      <c r="A32" s="4" t="inlineStr">
        <is>
          <t>T27</t>
        </is>
      </c>
      <c r="B32" s="8" t="inlineStr">
        <is>
          <t>Pricing v2 P2: iyzico/PayTR yearly checkout with taksit</t>
        </is>
      </c>
      <c r="C32" s="4" t="inlineStr">
        <is>
          <t>Claude: to assign</t>
        </is>
      </c>
      <c r="D32" s="5" t="n">
        <v>46356</v>
      </c>
      <c r="E32" s="4" t="inlineStr">
        <is>
          <t>Blocked</t>
        </is>
      </c>
      <c r="F32" s="4" t="inlineStr">
        <is>
          <t>P0</t>
        </is>
      </c>
      <c r="G32" s="4" t="inlineStr">
        <is>
          <t>https://github.com/bloodyteeths/kolayxport_supa/blob/main/docs/gtm/pricing-v2.md</t>
        </is>
      </c>
      <c r="H32" s="4" t="inlineStr">
        <is>
          <t>T07</t>
        </is>
      </c>
      <c r="I32" s="8" t="inlineStr"/>
      <c r="J32" s="4">
        <f>IF(AND(D32&lt;&gt;"",D32&lt;TODAY(),E32&lt;&gt;"Done",E32&lt;&gt;"Cancelled"),"OVERDUE","")</f>
        <v/>
      </c>
    </row>
    <row r="33">
      <c r="A33" s="4" t="inlineStr">
        <is>
          <t>T28</t>
        </is>
      </c>
      <c r="B33" s="8" t="inlineStr">
        <is>
          <t>Pricing v2 P4: /fiyatlandirma redesign</t>
        </is>
      </c>
      <c r="C33" s="4" t="inlineStr">
        <is>
          <t>Claude: gtm-overhaul</t>
        </is>
      </c>
      <c r="D33" s="5" t="n">
        <v>46356</v>
      </c>
      <c r="E33" s="4" t="inlineStr">
        <is>
          <t>Blocked</t>
        </is>
      </c>
      <c r="F33" s="4" t="inlineStr">
        <is>
          <t>P1</t>
        </is>
      </c>
      <c r="G33" s="4" t="inlineStr">
        <is>
          <t>https://github.com/bloodyteeths/kolayxport_supa/blob/main/docs/gtm/pricing-v2.md</t>
        </is>
      </c>
      <c r="H33" s="4" t="inlineStr">
        <is>
          <t>T05, T07</t>
        </is>
      </c>
      <c r="I33" s="8" t="inlineStr"/>
      <c r="J33" s="4">
        <f>IF(AND(D33&lt;&gt;"",D33&lt;TODAY(),E33&lt;&gt;"Done",E33&lt;&gt;"Cancelled"),"OVERDUE","")</f>
        <v/>
      </c>
    </row>
    <row r="34">
      <c r="A34" s="4" t="inlineStr">
        <is>
          <t>T29</t>
        </is>
      </c>
      <c r="B34" s="8" t="inlineStr">
        <is>
          <t>Upload the remaining 8 tutorials</t>
        </is>
      </c>
      <c r="C34" s="4" t="inlineStr">
        <is>
          <t>Claude: gtm-overhaul</t>
        </is>
      </c>
      <c r="D34" s="5" t="n">
        <v>46315</v>
      </c>
      <c r="E34" s="4" t="inlineStr">
        <is>
          <t>In progress</t>
        </is>
      </c>
      <c r="F34" s="4" t="inlineStr">
        <is>
          <t>P1</t>
        </is>
      </c>
      <c r="G34" s="4" t="inlineStr">
        <is>
          <t>https://studio.youtube.com</t>
        </is>
      </c>
      <c r="H34" s="4" t="inlineStr"/>
      <c r="I34" s="8" t="inlineStr"/>
      <c r="J34" s="4">
        <f>IF(AND(D34&lt;&gt;"",D34&lt;TODAY(),E34&lt;&gt;"Done",E34&lt;&gt;"Cancelled"),"OVERDUE","")</f>
        <v/>
      </c>
    </row>
    <row r="35">
      <c r="A35" s="4" t="inlineStr">
        <is>
          <t>T30</t>
        </is>
      </c>
      <c r="B35" s="8" t="inlineStr">
        <is>
          <t>Blog cadence: 2 posts a week from the content calendar</t>
        </is>
      </c>
      <c r="C35" s="4" t="inlineStr">
        <is>
          <t>Claude: gtm-overhaul</t>
        </is>
      </c>
      <c r="D35" s="5" t="n">
        <v>46329</v>
      </c>
      <c r="E35" s="4" t="inlineStr">
        <is>
          <t>Not started</t>
        </is>
      </c>
      <c r="F35" s="4" t="inlineStr">
        <is>
          <t>P1</t>
        </is>
      </c>
      <c r="G35" s="4" t="inlineStr">
        <is>
          <t>https://github.com/bloodyteeths/kolayxport_supa/blob/main/docs/gtm/seo/content-calendar.md</t>
        </is>
      </c>
      <c r="H35" s="4" t="inlineStr">
        <is>
          <t>T20</t>
        </is>
      </c>
      <c r="I35" s="8" t="inlineStr"/>
      <c r="J35" s="4">
        <f>IF(AND(D35&lt;&gt;"",D35&lt;TODAY(),E35&lt;&gt;"Done",E35&lt;&gt;"Cancelled"),"OVERDUE","")</f>
        <v/>
      </c>
    </row>
    <row r="36">
      <c r="A36" s="4" t="inlineStr">
        <is>
          <t>T31</t>
        </is>
      </c>
      <c r="B36" s="8" t="inlineStr">
        <is>
          <t>Draft the /ortaklik partner-terms page (publish after Stage B + accountant)</t>
        </is>
      </c>
      <c r="C36" s="4" t="inlineStr">
        <is>
          <t>Claude: gtm-overhaul</t>
        </is>
      </c>
      <c r="D36" s="5" t="n">
        <v>46333</v>
      </c>
      <c r="E36" s="4" t="inlineStr">
        <is>
          <t>Not started</t>
        </is>
      </c>
      <c r="F36" s="4" t="inlineStr">
        <is>
          <t>P1</t>
        </is>
      </c>
      <c r="G36" s="4" t="inlineStr">
        <is>
          <t>https://github.com/bloodyteeths/kolayxport_supa/blob/main/docs/gtm/turkey-gameplan.md</t>
        </is>
      </c>
      <c r="H36" s="4" t="inlineStr">
        <is>
          <t>T07, T25</t>
        </is>
      </c>
      <c r="I36" s="8" t="inlineStr"/>
      <c r="J36" s="4">
        <f>IF(AND(D36&lt;&gt;"",D36&lt;TODAY(),E36&lt;&gt;"Done",E36&lt;&gt;"Cancelled"),"OVERDUE","")</f>
        <v/>
      </c>
    </row>
    <row r="37">
      <c r="A37" s="4" t="inlineStr">
        <is>
          <t>T32</t>
        </is>
      </c>
      <c r="B37" s="8" t="inlineStr">
        <is>
          <t>Privacy notice: one line on masked referrals shown to partners</t>
        </is>
      </c>
      <c r="C37" s="4" t="inlineStr">
        <is>
          <t>Claude: gtm-overhaul</t>
        </is>
      </c>
      <c r="D37" s="5" t="n">
        <v>46333</v>
      </c>
      <c r="E37" s="4" t="inlineStr">
        <is>
          <t>Not started</t>
        </is>
      </c>
      <c r="F37" s="4" t="inlineStr">
        <is>
          <t>P1</t>
        </is>
      </c>
      <c r="G37" s="4" t="inlineStr">
        <is>
          <t>https://github.com/bloodyteeths/kolayxport_supa/blob/main/docs/gtm/referral-spec.md</t>
        </is>
      </c>
      <c r="H37" s="4" t="inlineStr"/>
      <c r="I37" s="8" t="inlineStr">
        <is>
          <t>Lawyer-review flag</t>
        </is>
      </c>
      <c r="J37" s="4">
        <f>IF(AND(D37&lt;&gt;"",D37&lt;TODAY(),E37&lt;&gt;"Done",E37&lt;&gt;"Cancelled"),"OVERDUE","")</f>
        <v/>
      </c>
    </row>
    <row r="38">
      <c r="A38" s="4" t="n"/>
      <c r="B38" s="8" t="n"/>
      <c r="C38" s="4" t="n"/>
      <c r="D38" s="5" t="n"/>
      <c r="E38" s="4" t="n"/>
      <c r="F38" s="4" t="n"/>
      <c r="G38" s="4" t="n"/>
      <c r="H38" s="4" t="n"/>
      <c r="I38" s="8" t="n"/>
      <c r="J38" s="4">
        <f>IF(AND(D38&lt;&gt;"",D38&lt;TODAY(),E38&lt;&gt;"Done",E38&lt;&gt;"Cancelled"),"OVERDUE","")</f>
        <v/>
      </c>
    </row>
    <row r="39">
      <c r="A39" s="4" t="n"/>
      <c r="B39" s="8" t="n"/>
      <c r="C39" s="4" t="n"/>
      <c r="D39" s="5" t="n"/>
      <c r="E39" s="4" t="n"/>
      <c r="F39" s="4" t="n"/>
      <c r="G39" s="4" t="n"/>
      <c r="H39" s="4" t="n"/>
      <c r="I39" s="8" t="n"/>
      <c r="J39" s="4">
        <f>IF(AND(D39&lt;&gt;"",D39&lt;TODAY(),E39&lt;&gt;"Done",E39&lt;&gt;"Cancelled"),"OVERDUE","")</f>
        <v/>
      </c>
    </row>
    <row r="40">
      <c r="A40" s="4" t="n"/>
      <c r="B40" s="8" t="n"/>
      <c r="C40" s="4" t="n"/>
      <c r="D40" s="5" t="n"/>
      <c r="E40" s="4" t="n"/>
      <c r="F40" s="4" t="n"/>
      <c r="G40" s="4" t="n"/>
      <c r="H40" s="4" t="n"/>
      <c r="I40" s="8" t="n"/>
      <c r="J40" s="4">
        <f>IF(AND(D40&lt;&gt;"",D40&lt;TODAY(),E40&lt;&gt;"Done",E40&lt;&gt;"Cancelled"),"OVERDUE","")</f>
        <v/>
      </c>
    </row>
    <row r="41">
      <c r="A41" s="4" t="n"/>
      <c r="B41" s="8" t="n"/>
      <c r="C41" s="4" t="n"/>
      <c r="D41" s="5" t="n"/>
      <c r="E41" s="4" t="n"/>
      <c r="F41" s="4" t="n"/>
      <c r="G41" s="4" t="n"/>
      <c r="H41" s="4" t="n"/>
      <c r="I41" s="8" t="n"/>
      <c r="J41" s="4">
        <f>IF(AND(D41&lt;&gt;"",D41&lt;TODAY(),E41&lt;&gt;"Done",E41&lt;&gt;"Cancelled"),"OVERDUE","")</f>
        <v/>
      </c>
    </row>
    <row r="42">
      <c r="A42" s="4" t="n"/>
      <c r="B42" s="8" t="n"/>
      <c r="C42" s="4" t="n"/>
      <c r="D42" s="5" t="n"/>
      <c r="E42" s="4" t="n"/>
      <c r="F42" s="4" t="n"/>
      <c r="G42" s="4" t="n"/>
      <c r="H42" s="4" t="n"/>
      <c r="I42" s="8" t="n"/>
      <c r="J42" s="4">
        <f>IF(AND(D42&lt;&gt;"",D42&lt;TODAY(),E42&lt;&gt;"Done",E42&lt;&gt;"Cancelled"),"OVERDUE","")</f>
        <v/>
      </c>
    </row>
    <row r="43">
      <c r="A43" s="4" t="n"/>
      <c r="B43" s="8" t="n"/>
      <c r="C43" s="4" t="n"/>
      <c r="D43" s="5" t="n"/>
      <c r="E43" s="4" t="n"/>
      <c r="F43" s="4" t="n"/>
      <c r="G43" s="4" t="n"/>
      <c r="H43" s="4" t="n"/>
      <c r="I43" s="8" t="n"/>
      <c r="J43" s="4">
        <f>IF(AND(D43&lt;&gt;"",D43&lt;TODAY(),E43&lt;&gt;"Done",E43&lt;&gt;"Cancelled"),"OVERDUE","")</f>
        <v/>
      </c>
    </row>
    <row r="44">
      <c r="A44" s="4" t="n"/>
      <c r="B44" s="8" t="n"/>
      <c r="C44" s="4" t="n"/>
      <c r="D44" s="5" t="n"/>
      <c r="E44" s="4" t="n"/>
      <c r="F44" s="4" t="n"/>
      <c r="G44" s="4" t="n"/>
      <c r="H44" s="4" t="n"/>
      <c r="I44" s="8" t="n"/>
      <c r="J44" s="4">
        <f>IF(AND(D44&lt;&gt;"",D44&lt;TODAY(),E44&lt;&gt;"Done",E44&lt;&gt;"Cancelled"),"OVERDUE","")</f>
        <v/>
      </c>
    </row>
    <row r="45">
      <c r="A45" s="4" t="n"/>
      <c r="B45" s="8" t="n"/>
      <c r="C45" s="4" t="n"/>
      <c r="D45" s="5" t="n"/>
      <c r="E45" s="4" t="n"/>
      <c r="F45" s="4" t="n"/>
      <c r="G45" s="4" t="n"/>
      <c r="H45" s="4" t="n"/>
      <c r="I45" s="8" t="n"/>
      <c r="J45" s="4">
        <f>IF(AND(D45&lt;&gt;"",D45&lt;TODAY(),E45&lt;&gt;"Done",E45&lt;&gt;"Cancelled"),"OVERDUE","")</f>
        <v/>
      </c>
    </row>
    <row r="46">
      <c r="A46" s="4" t="n"/>
      <c r="B46" s="8" t="n"/>
      <c r="C46" s="4" t="n"/>
      <c r="D46" s="5" t="n"/>
      <c r="E46" s="4" t="n"/>
      <c r="F46" s="4" t="n"/>
      <c r="G46" s="4" t="n"/>
      <c r="H46" s="4" t="n"/>
      <c r="I46" s="8" t="n"/>
      <c r="J46" s="4">
        <f>IF(AND(D46&lt;&gt;"",D46&lt;TODAY(),E46&lt;&gt;"Done",E46&lt;&gt;"Cancelled"),"OVERDUE","")</f>
        <v/>
      </c>
    </row>
    <row r="47">
      <c r="A47" s="4" t="n"/>
      <c r="B47" s="8" t="n"/>
      <c r="C47" s="4" t="n"/>
      <c r="D47" s="5" t="n"/>
      <c r="E47" s="4" t="n"/>
      <c r="F47" s="4" t="n"/>
      <c r="G47" s="4" t="n"/>
      <c r="H47" s="4" t="n"/>
      <c r="I47" s="8" t="n"/>
      <c r="J47" s="4">
        <f>IF(AND(D47&lt;&gt;"",D47&lt;TODAY(),E47&lt;&gt;"Done",E47&lt;&gt;"Cancelled"),"OVERDUE","")</f>
        <v/>
      </c>
    </row>
    <row r="48">
      <c r="A48" s="4" t="n"/>
      <c r="B48" s="8" t="n"/>
      <c r="C48" s="4" t="n"/>
      <c r="D48" s="5" t="n"/>
      <c r="E48" s="4" t="n"/>
      <c r="F48" s="4" t="n"/>
      <c r="G48" s="4" t="n"/>
      <c r="H48" s="4" t="n"/>
      <c r="I48" s="8" t="n"/>
      <c r="J48" s="4">
        <f>IF(AND(D48&lt;&gt;"",D48&lt;TODAY(),E48&lt;&gt;"Done",E48&lt;&gt;"Cancelled"),"OVERDUE","")</f>
        <v/>
      </c>
    </row>
    <row r="49">
      <c r="A49" s="4" t="n"/>
      <c r="B49" s="8" t="n"/>
      <c r="C49" s="4" t="n"/>
      <c r="D49" s="5" t="n"/>
      <c r="E49" s="4" t="n"/>
      <c r="F49" s="4" t="n"/>
      <c r="G49" s="4" t="n"/>
      <c r="H49" s="4" t="n"/>
      <c r="I49" s="8" t="n"/>
      <c r="J49" s="4">
        <f>IF(AND(D49&lt;&gt;"",D49&lt;TODAY(),E49&lt;&gt;"Done",E49&lt;&gt;"Cancelled"),"OVERDUE","")</f>
        <v/>
      </c>
    </row>
    <row r="50">
      <c r="A50" s="4" t="n"/>
      <c r="B50" s="8" t="n"/>
      <c r="C50" s="4" t="n"/>
      <c r="D50" s="5" t="n"/>
      <c r="E50" s="4" t="n"/>
      <c r="F50" s="4" t="n"/>
      <c r="G50" s="4" t="n"/>
      <c r="H50" s="4" t="n"/>
      <c r="I50" s="8" t="n"/>
      <c r="J50" s="4">
        <f>IF(AND(D50&lt;&gt;"",D50&lt;TODAY(),E50&lt;&gt;"Done",E50&lt;&gt;"Cancelled"),"OVERDUE","")</f>
        <v/>
      </c>
    </row>
    <row r="51">
      <c r="A51" s="4" t="n"/>
      <c r="B51" s="8" t="n"/>
      <c r="C51" s="4" t="n"/>
      <c r="D51" s="5" t="n"/>
      <c r="E51" s="4" t="n"/>
      <c r="F51" s="4" t="n"/>
      <c r="G51" s="4" t="n"/>
      <c r="H51" s="4" t="n"/>
      <c r="I51" s="8" t="n"/>
      <c r="J51" s="4">
        <f>IF(AND(D51&lt;&gt;"",D51&lt;TODAY(),E51&lt;&gt;"Done",E51&lt;&gt;"Cancelled"),"OVERDUE","")</f>
        <v/>
      </c>
    </row>
    <row r="52">
      <c r="A52" s="4" t="n"/>
      <c r="B52" s="8" t="n"/>
      <c r="C52" s="4" t="n"/>
      <c r="D52" s="5" t="n"/>
      <c r="E52" s="4" t="n"/>
      <c r="F52" s="4" t="n"/>
      <c r="G52" s="4" t="n"/>
      <c r="H52" s="4" t="n"/>
      <c r="I52" s="8" t="n"/>
      <c r="J52" s="4">
        <f>IF(AND(D52&lt;&gt;"",D52&lt;TODAY(),E52&lt;&gt;"Done",E52&lt;&gt;"Cancelled"),"OVERDUE","")</f>
        <v/>
      </c>
    </row>
    <row r="53">
      <c r="A53" s="4" t="n"/>
      <c r="B53" s="8" t="n"/>
      <c r="C53" s="4" t="n"/>
      <c r="D53" s="5" t="n"/>
      <c r="E53" s="4" t="n"/>
      <c r="F53" s="4" t="n"/>
      <c r="G53" s="4" t="n"/>
      <c r="H53" s="4" t="n"/>
      <c r="I53" s="8" t="n"/>
      <c r="J53" s="4">
        <f>IF(AND(D53&lt;&gt;"",D53&lt;TODAY(),E53&lt;&gt;"Done",E53&lt;&gt;"Cancelled"),"OVERDUE","")</f>
        <v/>
      </c>
    </row>
    <row r="54">
      <c r="A54" s="4" t="n"/>
      <c r="B54" s="8" t="n"/>
      <c r="C54" s="4" t="n"/>
      <c r="D54" s="5" t="n"/>
      <c r="E54" s="4" t="n"/>
      <c r="F54" s="4" t="n"/>
      <c r="G54" s="4" t="n"/>
      <c r="H54" s="4" t="n"/>
      <c r="I54" s="8" t="n"/>
      <c r="J54" s="4">
        <f>IF(AND(D54&lt;&gt;"",D54&lt;TODAY(),E54&lt;&gt;"Done",E54&lt;&gt;"Cancelled"),"OVERDUE","")</f>
        <v/>
      </c>
    </row>
    <row r="55">
      <c r="A55" s="4" t="n"/>
      <c r="B55" s="8" t="n"/>
      <c r="C55" s="4" t="n"/>
      <c r="D55" s="5" t="n"/>
      <c r="E55" s="4" t="n"/>
      <c r="F55" s="4" t="n"/>
      <c r="G55" s="4" t="n"/>
      <c r="H55" s="4" t="n"/>
      <c r="I55" s="8" t="n"/>
      <c r="J55" s="4">
        <f>IF(AND(D55&lt;&gt;"",D55&lt;TODAY(),E55&lt;&gt;"Done",E55&lt;&gt;"Cancelled"),"OVERDUE","")</f>
        <v/>
      </c>
    </row>
    <row r="56">
      <c r="A56" s="4" t="n"/>
      <c r="B56" s="8" t="n"/>
      <c r="C56" s="4" t="n"/>
      <c r="D56" s="5" t="n"/>
      <c r="E56" s="4" t="n"/>
      <c r="F56" s="4" t="n"/>
      <c r="G56" s="4" t="n"/>
      <c r="H56" s="4" t="n"/>
      <c r="I56" s="8" t="n"/>
      <c r="J56" s="4">
        <f>IF(AND(D56&lt;&gt;"",D56&lt;TODAY(),E56&lt;&gt;"Done",E56&lt;&gt;"Cancelled"),"OVERDUE","")</f>
        <v/>
      </c>
    </row>
    <row r="57">
      <c r="A57" s="4" t="n"/>
      <c r="B57" s="8" t="n"/>
      <c r="C57" s="4" t="n"/>
      <c r="D57" s="5" t="n"/>
      <c r="E57" s="4" t="n"/>
      <c r="F57" s="4" t="n"/>
      <c r="G57" s="4" t="n"/>
      <c r="H57" s="4" t="n"/>
      <c r="I57" s="8" t="n"/>
      <c r="J57" s="4">
        <f>IF(AND(D57&lt;&gt;"",D57&lt;TODAY(),E57&lt;&gt;"Done",E57&lt;&gt;"Cancelled"),"OVERDUE","")</f>
        <v/>
      </c>
    </row>
    <row r="58">
      <c r="A58" s="4" t="n"/>
      <c r="B58" s="8" t="n"/>
      <c r="C58" s="4" t="n"/>
      <c r="D58" s="5" t="n"/>
      <c r="E58" s="4" t="n"/>
      <c r="F58" s="4" t="n"/>
      <c r="G58" s="4" t="n"/>
      <c r="H58" s="4" t="n"/>
      <c r="I58" s="8" t="n"/>
      <c r="J58" s="4">
        <f>IF(AND(D58&lt;&gt;"",D58&lt;TODAY(),E58&lt;&gt;"Done",E58&lt;&gt;"Cancelled"),"OVERDUE","")</f>
        <v/>
      </c>
    </row>
    <row r="59">
      <c r="A59" s="4" t="n"/>
      <c r="B59" s="8" t="n"/>
      <c r="C59" s="4" t="n"/>
      <c r="D59" s="5" t="n"/>
      <c r="E59" s="4" t="n"/>
      <c r="F59" s="4" t="n"/>
      <c r="G59" s="4" t="n"/>
      <c r="H59" s="4" t="n"/>
      <c r="I59" s="8" t="n"/>
      <c r="J59" s="4">
        <f>IF(AND(D59&lt;&gt;"",D59&lt;TODAY(),E59&lt;&gt;"Done",E59&lt;&gt;"Cancelled"),"OVERDUE","")</f>
        <v/>
      </c>
    </row>
    <row r="60">
      <c r="A60" s="4" t="n"/>
      <c r="B60" s="8" t="n"/>
      <c r="C60" s="4" t="n"/>
      <c r="D60" s="5" t="n"/>
      <c r="E60" s="4" t="n"/>
      <c r="F60" s="4" t="n"/>
      <c r="G60" s="4" t="n"/>
      <c r="H60" s="4" t="n"/>
      <c r="I60" s="8" t="n"/>
      <c r="J60" s="4">
        <f>IF(AND(D60&lt;&gt;"",D60&lt;TODAY(),E60&lt;&gt;"Done",E60&lt;&gt;"Cancelled"),"OVERDUE","")</f>
        <v/>
      </c>
    </row>
    <row r="61">
      <c r="A61" s="4" t="n"/>
      <c r="B61" s="8" t="n"/>
      <c r="C61" s="4" t="n"/>
      <c r="D61" s="5" t="n"/>
      <c r="E61" s="4" t="n"/>
      <c r="F61" s="4" t="n"/>
      <c r="G61" s="4" t="n"/>
      <c r="H61" s="4" t="n"/>
      <c r="I61" s="8" t="n"/>
      <c r="J61" s="4">
        <f>IF(AND(D61&lt;&gt;"",D61&lt;TODAY(),E61&lt;&gt;"Done",E61&lt;&gt;"Cancelled"),"OVERDUE","")</f>
        <v/>
      </c>
    </row>
    <row r="62">
      <c r="A62" s="4" t="n"/>
      <c r="B62" s="8" t="n"/>
      <c r="C62" s="4" t="n"/>
      <c r="D62" s="5" t="n"/>
      <c r="E62" s="4" t="n"/>
      <c r="F62" s="4" t="n"/>
      <c r="G62" s="4" t="n"/>
      <c r="H62" s="4" t="n"/>
      <c r="I62" s="8" t="n"/>
      <c r="J62" s="4">
        <f>IF(AND(D62&lt;&gt;"",D62&lt;TODAY(),E62&lt;&gt;"Done",E62&lt;&gt;"Cancelled"),"OVERDUE","")</f>
        <v/>
      </c>
    </row>
    <row r="63">
      <c r="A63" s="4" t="n"/>
      <c r="B63" s="8" t="n"/>
      <c r="C63" s="4" t="n"/>
      <c r="D63" s="5" t="n"/>
      <c r="E63" s="4" t="n"/>
      <c r="F63" s="4" t="n"/>
      <c r="G63" s="4" t="n"/>
      <c r="H63" s="4" t="n"/>
      <c r="I63" s="8" t="n"/>
      <c r="J63" s="4">
        <f>IF(AND(D63&lt;&gt;"",D63&lt;TODAY(),E63&lt;&gt;"Done",E63&lt;&gt;"Cancelled"),"OVERDUE","")</f>
        <v/>
      </c>
    </row>
    <row r="64">
      <c r="A64" s="4" t="n"/>
      <c r="B64" s="8" t="n"/>
      <c r="C64" s="4" t="n"/>
      <c r="D64" s="5" t="n"/>
      <c r="E64" s="4" t="n"/>
      <c r="F64" s="4" t="n"/>
      <c r="G64" s="4" t="n"/>
      <c r="H64" s="4" t="n"/>
      <c r="I64" s="8" t="n"/>
      <c r="J64" s="4">
        <f>IF(AND(D64&lt;&gt;"",D64&lt;TODAY(),E64&lt;&gt;"Done",E64&lt;&gt;"Cancelled"),"OVERDUE","")</f>
        <v/>
      </c>
    </row>
    <row r="65">
      <c r="A65" s="4" t="n"/>
      <c r="B65" s="8" t="n"/>
      <c r="C65" s="4" t="n"/>
      <c r="D65" s="5" t="n"/>
      <c r="E65" s="4" t="n"/>
      <c r="F65" s="4" t="n"/>
      <c r="G65" s="4" t="n"/>
      <c r="H65" s="4" t="n"/>
      <c r="I65" s="8" t="n"/>
      <c r="J65" s="4">
        <f>IF(AND(D65&lt;&gt;"",D65&lt;TODAY(),E65&lt;&gt;"Done",E65&lt;&gt;"Cancelled"),"OVERDUE","")</f>
        <v/>
      </c>
    </row>
    <row r="66">
      <c r="A66" s="4" t="n"/>
      <c r="B66" s="8" t="n"/>
      <c r="C66" s="4" t="n"/>
      <c r="D66" s="5" t="n"/>
      <c r="E66" s="4" t="n"/>
      <c r="F66" s="4" t="n"/>
      <c r="G66" s="4" t="n"/>
      <c r="H66" s="4" t="n"/>
      <c r="I66" s="8" t="n"/>
      <c r="J66" s="4">
        <f>IF(AND(D66&lt;&gt;"",D66&lt;TODAY(),E66&lt;&gt;"Done",E66&lt;&gt;"Cancelled"),"OVERDUE","")</f>
        <v/>
      </c>
    </row>
    <row r="67">
      <c r="A67" s="4" t="n"/>
      <c r="B67" s="8" t="n"/>
      <c r="C67" s="4" t="n"/>
      <c r="D67" s="5" t="n"/>
      <c r="E67" s="4" t="n"/>
      <c r="F67" s="4" t="n"/>
      <c r="G67" s="4" t="n"/>
      <c r="H67" s="4" t="n"/>
      <c r="I67" s="8" t="n"/>
      <c r="J67" s="4">
        <f>IF(AND(D67&lt;&gt;"",D67&lt;TODAY(),E67&lt;&gt;"Done",E67&lt;&gt;"Cancelled"),"OVERDUE","")</f>
        <v/>
      </c>
    </row>
    <row r="68">
      <c r="A68" s="4" t="n"/>
      <c r="B68" s="8" t="n"/>
      <c r="C68" s="4" t="n"/>
      <c r="D68" s="5" t="n"/>
      <c r="E68" s="4" t="n"/>
      <c r="F68" s="4" t="n"/>
      <c r="G68" s="4" t="n"/>
      <c r="H68" s="4" t="n"/>
      <c r="I68" s="8" t="n"/>
      <c r="J68" s="4">
        <f>IF(AND(D68&lt;&gt;"",D68&lt;TODAY(),E68&lt;&gt;"Done",E68&lt;&gt;"Cancelled"),"OVERDUE","")</f>
        <v/>
      </c>
    </row>
    <row r="69">
      <c r="A69" s="4" t="n"/>
      <c r="B69" s="8" t="n"/>
      <c r="C69" s="4" t="n"/>
      <c r="D69" s="5" t="n"/>
      <c r="E69" s="4" t="n"/>
      <c r="F69" s="4" t="n"/>
      <c r="G69" s="4" t="n"/>
      <c r="H69" s="4" t="n"/>
      <c r="I69" s="8" t="n"/>
      <c r="J69" s="4">
        <f>IF(AND(D69&lt;&gt;"",D69&lt;TODAY(),E69&lt;&gt;"Done",E69&lt;&gt;"Cancelled"),"OVERDUE","")</f>
        <v/>
      </c>
    </row>
    <row r="70">
      <c r="A70" s="4" t="n"/>
      <c r="B70" s="8" t="n"/>
      <c r="C70" s="4" t="n"/>
      <c r="D70" s="5" t="n"/>
      <c r="E70" s="4" t="n"/>
      <c r="F70" s="4" t="n"/>
      <c r="G70" s="4" t="n"/>
      <c r="H70" s="4" t="n"/>
      <c r="I70" s="8" t="n"/>
      <c r="J70" s="4">
        <f>IF(AND(D70&lt;&gt;"",D70&lt;TODAY(),E70&lt;&gt;"Done",E70&lt;&gt;"Cancelled"),"OVERDUE","")</f>
        <v/>
      </c>
    </row>
    <row r="71">
      <c r="A71" s="4" t="n"/>
      <c r="B71" s="8" t="n"/>
      <c r="C71" s="4" t="n"/>
      <c r="D71" s="5" t="n"/>
      <c r="E71" s="4" t="n"/>
      <c r="F71" s="4" t="n"/>
      <c r="G71" s="4" t="n"/>
      <c r="H71" s="4" t="n"/>
      <c r="I71" s="8" t="n"/>
      <c r="J71" s="4">
        <f>IF(AND(D71&lt;&gt;"",D71&lt;TODAY(),E71&lt;&gt;"Done",E71&lt;&gt;"Cancelled"),"OVERDUE","")</f>
        <v/>
      </c>
    </row>
    <row r="72">
      <c r="A72" s="4" t="n"/>
      <c r="B72" s="8" t="n"/>
      <c r="C72" s="4" t="n"/>
      <c r="D72" s="5" t="n"/>
      <c r="E72" s="4" t="n"/>
      <c r="F72" s="4" t="n"/>
      <c r="G72" s="4" t="n"/>
      <c r="H72" s="4" t="n"/>
      <c r="I72" s="8" t="n"/>
      <c r="J72" s="4">
        <f>IF(AND(D72&lt;&gt;"",D72&lt;TODAY(),E72&lt;&gt;"Done",E72&lt;&gt;"Cancelled"),"OVERDUE","")</f>
        <v/>
      </c>
    </row>
    <row r="73">
      <c r="A73" s="4" t="n"/>
      <c r="B73" s="8" t="n"/>
      <c r="C73" s="4" t="n"/>
      <c r="D73" s="5" t="n"/>
      <c r="E73" s="4" t="n"/>
      <c r="F73" s="4" t="n"/>
      <c r="G73" s="4" t="n"/>
      <c r="H73" s="4" t="n"/>
      <c r="I73" s="8" t="n"/>
      <c r="J73" s="4">
        <f>IF(AND(D73&lt;&gt;"",D73&lt;TODAY(),E73&lt;&gt;"Done",E73&lt;&gt;"Cancelled"),"OVERDUE","")</f>
        <v/>
      </c>
    </row>
    <row r="74">
      <c r="A74" s="4" t="n"/>
      <c r="B74" s="8" t="n"/>
      <c r="C74" s="4" t="n"/>
      <c r="D74" s="5" t="n"/>
      <c r="E74" s="4" t="n"/>
      <c r="F74" s="4" t="n"/>
      <c r="G74" s="4" t="n"/>
      <c r="H74" s="4" t="n"/>
      <c r="I74" s="8" t="n"/>
      <c r="J74" s="4">
        <f>IF(AND(D74&lt;&gt;"",D74&lt;TODAY(),E74&lt;&gt;"Done",E74&lt;&gt;"Cancelled"),"OVERDUE","")</f>
        <v/>
      </c>
    </row>
    <row r="75">
      <c r="A75" s="4" t="n"/>
      <c r="B75" s="8" t="n"/>
      <c r="C75" s="4" t="n"/>
      <c r="D75" s="5" t="n"/>
      <c r="E75" s="4" t="n"/>
      <c r="F75" s="4" t="n"/>
      <c r="G75" s="4" t="n"/>
      <c r="H75" s="4" t="n"/>
      <c r="I75" s="8" t="n"/>
      <c r="J75" s="4">
        <f>IF(AND(D75&lt;&gt;"",D75&lt;TODAY(),E75&lt;&gt;"Done",E75&lt;&gt;"Cancelled"),"OVERDUE","")</f>
        <v/>
      </c>
    </row>
    <row r="76">
      <c r="A76" s="4" t="n"/>
      <c r="B76" s="8" t="n"/>
      <c r="C76" s="4" t="n"/>
      <c r="D76" s="5" t="n"/>
      <c r="E76" s="4" t="n"/>
      <c r="F76" s="4" t="n"/>
      <c r="G76" s="4" t="n"/>
      <c r="H76" s="4" t="n"/>
      <c r="I76" s="8" t="n"/>
      <c r="J76" s="4">
        <f>IF(AND(D76&lt;&gt;"",D76&lt;TODAY(),E76&lt;&gt;"Done",E76&lt;&gt;"Cancelled"),"OVERDUE","")</f>
        <v/>
      </c>
    </row>
    <row r="77">
      <c r="A77" s="4" t="n"/>
      <c r="B77" s="8" t="n"/>
      <c r="C77" s="4" t="n"/>
      <c r="D77" s="5" t="n"/>
      <c r="E77" s="4" t="n"/>
      <c r="F77" s="4" t="n"/>
      <c r="G77" s="4" t="n"/>
      <c r="H77" s="4" t="n"/>
      <c r="I77" s="8" t="n"/>
      <c r="J77" s="4">
        <f>IF(AND(D77&lt;&gt;"",D77&lt;TODAY(),E77&lt;&gt;"Done",E77&lt;&gt;"Cancelled"),"OVERDUE","")</f>
        <v/>
      </c>
    </row>
    <row r="78">
      <c r="A78" s="4" t="n"/>
      <c r="B78" s="8" t="n"/>
      <c r="C78" s="4" t="n"/>
      <c r="D78" s="5" t="n"/>
      <c r="E78" s="4" t="n"/>
      <c r="F78" s="4" t="n"/>
      <c r="G78" s="4" t="n"/>
      <c r="H78" s="4" t="n"/>
      <c r="I78" s="8" t="n"/>
      <c r="J78" s="4">
        <f>IF(AND(D78&lt;&gt;"",D78&lt;TODAY(),E78&lt;&gt;"Done",E78&lt;&gt;"Cancelled"),"OVERDUE","")</f>
        <v/>
      </c>
    </row>
    <row r="79">
      <c r="A79" s="4" t="n"/>
      <c r="B79" s="8" t="n"/>
      <c r="C79" s="4" t="n"/>
      <c r="D79" s="5" t="n"/>
      <c r="E79" s="4" t="n"/>
      <c r="F79" s="4" t="n"/>
      <c r="G79" s="4" t="n"/>
      <c r="H79" s="4" t="n"/>
      <c r="I79" s="8" t="n"/>
      <c r="J79" s="4">
        <f>IF(AND(D79&lt;&gt;"",D79&lt;TODAY(),E79&lt;&gt;"Done",E79&lt;&gt;"Cancelled"),"OVERDUE","")</f>
        <v/>
      </c>
    </row>
    <row r="80">
      <c r="A80" s="4" t="n"/>
      <c r="B80" s="8" t="n"/>
      <c r="C80" s="4" t="n"/>
      <c r="D80" s="5" t="n"/>
      <c r="E80" s="4" t="n"/>
      <c r="F80" s="4" t="n"/>
      <c r="G80" s="4" t="n"/>
      <c r="H80" s="4" t="n"/>
      <c r="I80" s="8" t="n"/>
      <c r="J80" s="4">
        <f>IF(AND(D80&lt;&gt;"",D80&lt;TODAY(),E80&lt;&gt;"Done",E80&lt;&gt;"Cancelled"),"OVERDUE","")</f>
        <v/>
      </c>
    </row>
    <row r="81">
      <c r="A81" s="4" t="n"/>
      <c r="B81" s="8" t="n"/>
      <c r="C81" s="4" t="n"/>
      <c r="D81" s="5" t="n"/>
      <c r="E81" s="4" t="n"/>
      <c r="F81" s="4" t="n"/>
      <c r="G81" s="4" t="n"/>
      <c r="H81" s="4" t="n"/>
      <c r="I81" s="8" t="n"/>
      <c r="J81" s="4">
        <f>IF(AND(D81&lt;&gt;"",D81&lt;TODAY(),E81&lt;&gt;"Done",E81&lt;&gt;"Cancelled"),"OVERDUE","")</f>
        <v/>
      </c>
    </row>
    <row r="82">
      <c r="A82" s="4" t="n"/>
      <c r="B82" s="8" t="n"/>
      <c r="C82" s="4" t="n"/>
      <c r="D82" s="5" t="n"/>
      <c r="E82" s="4" t="n"/>
      <c r="F82" s="4" t="n"/>
      <c r="G82" s="4" t="n"/>
      <c r="H82" s="4" t="n"/>
      <c r="I82" s="8" t="n"/>
      <c r="J82" s="4">
        <f>IF(AND(D82&lt;&gt;"",D82&lt;TODAY(),E82&lt;&gt;"Done",E82&lt;&gt;"Cancelled"),"OVERDUE","")</f>
        <v/>
      </c>
    </row>
    <row r="83">
      <c r="A83" s="4" t="n"/>
      <c r="B83" s="8" t="n"/>
      <c r="C83" s="4" t="n"/>
      <c r="D83" s="5" t="n"/>
      <c r="E83" s="4" t="n"/>
      <c r="F83" s="4" t="n"/>
      <c r="G83" s="4" t="n"/>
      <c r="H83" s="4" t="n"/>
      <c r="I83" s="8" t="n"/>
      <c r="J83" s="4">
        <f>IF(AND(D83&lt;&gt;"",D83&lt;TODAY(),E83&lt;&gt;"Done",E83&lt;&gt;"Cancelled"),"OVERDUE","")</f>
        <v/>
      </c>
    </row>
    <row r="84">
      <c r="A84" s="4" t="n"/>
      <c r="B84" s="8" t="n"/>
      <c r="C84" s="4" t="n"/>
      <c r="D84" s="5" t="n"/>
      <c r="E84" s="4" t="n"/>
      <c r="F84" s="4" t="n"/>
      <c r="G84" s="4" t="n"/>
      <c r="H84" s="4" t="n"/>
      <c r="I84" s="8" t="n"/>
      <c r="J84" s="4">
        <f>IF(AND(D84&lt;&gt;"",D84&lt;TODAY(),E84&lt;&gt;"Done",E84&lt;&gt;"Cancelled"),"OVERDUE","")</f>
        <v/>
      </c>
    </row>
    <row r="85">
      <c r="A85" s="4" t="n"/>
      <c r="B85" s="8" t="n"/>
      <c r="C85" s="4" t="n"/>
      <c r="D85" s="5" t="n"/>
      <c r="E85" s="4" t="n"/>
      <c r="F85" s="4" t="n"/>
      <c r="G85" s="4" t="n"/>
      <c r="H85" s="4" t="n"/>
      <c r="I85" s="8" t="n"/>
      <c r="J85" s="4">
        <f>IF(AND(D85&lt;&gt;"",D85&lt;TODAY(),E85&lt;&gt;"Done",E85&lt;&gt;"Cancelled"),"OVERDUE","")</f>
        <v/>
      </c>
    </row>
    <row r="86">
      <c r="A86" s="4" t="n"/>
      <c r="B86" s="8" t="n"/>
      <c r="C86" s="4" t="n"/>
      <c r="D86" s="5" t="n"/>
      <c r="E86" s="4" t="n"/>
      <c r="F86" s="4" t="n"/>
      <c r="G86" s="4" t="n"/>
      <c r="H86" s="4" t="n"/>
      <c r="I86" s="8" t="n"/>
      <c r="J86" s="4">
        <f>IF(AND(D86&lt;&gt;"",D86&lt;TODAY(),E86&lt;&gt;"Done",E86&lt;&gt;"Cancelled"),"OVERDUE","")</f>
        <v/>
      </c>
    </row>
    <row r="87">
      <c r="A87" s="4" t="n"/>
      <c r="B87" s="8" t="n"/>
      <c r="C87" s="4" t="n"/>
      <c r="D87" s="5" t="n"/>
      <c r="E87" s="4" t="n"/>
      <c r="F87" s="4" t="n"/>
      <c r="G87" s="4" t="n"/>
      <c r="H87" s="4" t="n"/>
      <c r="I87" s="8" t="n"/>
      <c r="J87" s="4">
        <f>IF(AND(D87&lt;&gt;"",D87&lt;TODAY(),E87&lt;&gt;"Done",E87&lt;&gt;"Cancelled"),"OVERDUE","")</f>
        <v/>
      </c>
    </row>
    <row r="88">
      <c r="A88" s="4" t="n"/>
      <c r="B88" s="8" t="n"/>
      <c r="C88" s="4" t="n"/>
      <c r="D88" s="5" t="n"/>
      <c r="E88" s="4" t="n"/>
      <c r="F88" s="4" t="n"/>
      <c r="G88" s="4" t="n"/>
      <c r="H88" s="4" t="n"/>
      <c r="I88" s="8" t="n"/>
      <c r="J88" s="4">
        <f>IF(AND(D88&lt;&gt;"",D88&lt;TODAY(),E88&lt;&gt;"Done",E88&lt;&gt;"Cancelled"),"OVERDUE","")</f>
        <v/>
      </c>
    </row>
    <row r="89">
      <c r="A89" s="4" t="n"/>
      <c r="B89" s="8" t="n"/>
      <c r="C89" s="4" t="n"/>
      <c r="D89" s="5" t="n"/>
      <c r="E89" s="4" t="n"/>
      <c r="F89" s="4" t="n"/>
      <c r="G89" s="4" t="n"/>
      <c r="H89" s="4" t="n"/>
      <c r="I89" s="8" t="n"/>
      <c r="J89" s="4">
        <f>IF(AND(D89&lt;&gt;"",D89&lt;TODAY(),E89&lt;&gt;"Done",E89&lt;&gt;"Cancelled"),"OVERDUE","")</f>
        <v/>
      </c>
    </row>
    <row r="90">
      <c r="A90" s="4" t="n"/>
      <c r="B90" s="8" t="n"/>
      <c r="C90" s="4" t="n"/>
      <c r="D90" s="5" t="n"/>
      <c r="E90" s="4" t="n"/>
      <c r="F90" s="4" t="n"/>
      <c r="G90" s="4" t="n"/>
      <c r="H90" s="4" t="n"/>
      <c r="I90" s="8" t="n"/>
      <c r="J90" s="4">
        <f>IF(AND(D90&lt;&gt;"",D90&lt;TODAY(),E90&lt;&gt;"Done",E90&lt;&gt;"Cancelled"),"OVERDUE","")</f>
        <v/>
      </c>
    </row>
    <row r="91">
      <c r="A91" s="4" t="n"/>
      <c r="B91" s="8" t="n"/>
      <c r="C91" s="4" t="n"/>
      <c r="D91" s="5" t="n"/>
      <c r="E91" s="4" t="n"/>
      <c r="F91" s="4" t="n"/>
      <c r="G91" s="4" t="n"/>
      <c r="H91" s="4" t="n"/>
      <c r="I91" s="8" t="n"/>
      <c r="J91" s="4">
        <f>IF(AND(D91&lt;&gt;"",D91&lt;TODAY(),E91&lt;&gt;"Done",E91&lt;&gt;"Cancelled"),"OVERDUE","")</f>
        <v/>
      </c>
    </row>
    <row r="92">
      <c r="A92" s="4" t="n"/>
      <c r="B92" s="8" t="n"/>
      <c r="C92" s="4" t="n"/>
      <c r="D92" s="5" t="n"/>
      <c r="E92" s="4" t="n"/>
      <c r="F92" s="4" t="n"/>
      <c r="G92" s="4" t="n"/>
      <c r="H92" s="4" t="n"/>
      <c r="I92" s="8" t="n"/>
      <c r="J92" s="4">
        <f>IF(AND(D92&lt;&gt;"",D92&lt;TODAY(),E92&lt;&gt;"Done",E92&lt;&gt;"Cancelled"),"OVERDUE","")</f>
        <v/>
      </c>
    </row>
    <row r="93">
      <c r="A93" s="4" t="n"/>
      <c r="B93" s="8" t="n"/>
      <c r="C93" s="4" t="n"/>
      <c r="D93" s="5" t="n"/>
      <c r="E93" s="4" t="n"/>
      <c r="F93" s="4" t="n"/>
      <c r="G93" s="4" t="n"/>
      <c r="H93" s="4" t="n"/>
      <c r="I93" s="8" t="n"/>
      <c r="J93" s="4">
        <f>IF(AND(D93&lt;&gt;"",D93&lt;TODAY(),E93&lt;&gt;"Done",E93&lt;&gt;"Cancelled"),"OVERDUE","")</f>
        <v/>
      </c>
    </row>
    <row r="94">
      <c r="A94" s="4" t="n"/>
      <c r="B94" s="8" t="n"/>
      <c r="C94" s="4" t="n"/>
      <c r="D94" s="5" t="n"/>
      <c r="E94" s="4" t="n"/>
      <c r="F94" s="4" t="n"/>
      <c r="G94" s="4" t="n"/>
      <c r="H94" s="4" t="n"/>
      <c r="I94" s="8" t="n"/>
      <c r="J94" s="4">
        <f>IF(AND(D94&lt;&gt;"",D94&lt;TODAY(),E94&lt;&gt;"Done",E94&lt;&gt;"Cancelled"),"OVERDUE","")</f>
        <v/>
      </c>
    </row>
    <row r="95">
      <c r="A95" s="4" t="n"/>
      <c r="B95" s="8" t="n"/>
      <c r="C95" s="4" t="n"/>
      <c r="D95" s="5" t="n"/>
      <c r="E95" s="4" t="n"/>
      <c r="F95" s="4" t="n"/>
      <c r="G95" s="4" t="n"/>
      <c r="H95" s="4" t="n"/>
      <c r="I95" s="8" t="n"/>
      <c r="J95" s="4">
        <f>IF(AND(D95&lt;&gt;"",D95&lt;TODAY(),E95&lt;&gt;"Done",E95&lt;&gt;"Cancelled"),"OVERDUE","")</f>
        <v/>
      </c>
    </row>
    <row r="96">
      <c r="A96" s="4" t="n"/>
      <c r="B96" s="8" t="n"/>
      <c r="C96" s="4" t="n"/>
      <c r="D96" s="5" t="n"/>
      <c r="E96" s="4" t="n"/>
      <c r="F96" s="4" t="n"/>
      <c r="G96" s="4" t="n"/>
      <c r="H96" s="4" t="n"/>
      <c r="I96" s="8" t="n"/>
      <c r="J96" s="4">
        <f>IF(AND(D96&lt;&gt;"",D96&lt;TODAY(),E96&lt;&gt;"Done",E96&lt;&gt;"Cancelled"),"OVERDUE","")</f>
        <v/>
      </c>
    </row>
    <row r="97">
      <c r="A97" s="4" t="n"/>
      <c r="B97" s="8" t="n"/>
      <c r="C97" s="4" t="n"/>
      <c r="D97" s="5" t="n"/>
      <c r="E97" s="4" t="n"/>
      <c r="F97" s="4" t="n"/>
      <c r="G97" s="4" t="n"/>
      <c r="H97" s="4" t="n"/>
      <c r="I97" s="8" t="n"/>
      <c r="J97" s="4">
        <f>IF(AND(D97&lt;&gt;"",D97&lt;TODAY(),E97&lt;&gt;"Done",E97&lt;&gt;"Cancelled"),"OVERDUE","")</f>
        <v/>
      </c>
    </row>
    <row r="98">
      <c r="A98" s="4" t="n"/>
      <c r="B98" s="8" t="n"/>
      <c r="C98" s="4" t="n"/>
      <c r="D98" s="5" t="n"/>
      <c r="E98" s="4" t="n"/>
      <c r="F98" s="4" t="n"/>
      <c r="G98" s="4" t="n"/>
      <c r="H98" s="4" t="n"/>
      <c r="I98" s="8" t="n"/>
      <c r="J98" s="4">
        <f>IF(AND(D98&lt;&gt;"",D98&lt;TODAY(),E98&lt;&gt;"Done",E98&lt;&gt;"Cancelled"),"OVERDUE","")</f>
        <v/>
      </c>
    </row>
    <row r="99">
      <c r="A99" s="4" t="n"/>
      <c r="B99" s="8" t="n"/>
      <c r="C99" s="4" t="n"/>
      <c r="D99" s="5" t="n"/>
      <c r="E99" s="4" t="n"/>
      <c r="F99" s="4" t="n"/>
      <c r="G99" s="4" t="n"/>
      <c r="H99" s="4" t="n"/>
      <c r="I99" s="8" t="n"/>
      <c r="J99" s="4">
        <f>IF(AND(D99&lt;&gt;"",D99&lt;TODAY(),E99&lt;&gt;"Done",E99&lt;&gt;"Cancelled"),"OVERDUE","")</f>
        <v/>
      </c>
    </row>
    <row r="100">
      <c r="A100" s="4" t="n"/>
      <c r="B100" s="8" t="n"/>
      <c r="C100" s="4" t="n"/>
      <c r="D100" s="5" t="n"/>
      <c r="E100" s="4" t="n"/>
      <c r="F100" s="4" t="n"/>
      <c r="G100" s="4" t="n"/>
      <c r="H100" s="4" t="n"/>
      <c r="I100" s="8" t="n"/>
      <c r="J100" s="4">
        <f>IF(AND(D100&lt;&gt;"",D100&lt;TODAY(),E100&lt;&gt;"Done",E100&lt;&gt;"Cancelled"),"OVERDUE","")</f>
        <v/>
      </c>
    </row>
    <row r="101">
      <c r="A101" s="4" t="n"/>
      <c r="B101" s="8" t="n"/>
      <c r="C101" s="4" t="n"/>
      <c r="D101" s="5" t="n"/>
      <c r="E101" s="4" t="n"/>
      <c r="F101" s="4" t="n"/>
      <c r="G101" s="4" t="n"/>
      <c r="H101" s="4" t="n"/>
      <c r="I101" s="8" t="n"/>
      <c r="J101" s="4">
        <f>IF(AND(D101&lt;&gt;"",D101&lt;TODAY(),E101&lt;&gt;"Done",E101&lt;&gt;"Cancelled"),"OVERDUE","")</f>
        <v/>
      </c>
    </row>
    <row r="102">
      <c r="A102" s="4" t="n"/>
      <c r="B102" s="8" t="n"/>
      <c r="C102" s="4" t="n"/>
      <c r="D102" s="5" t="n"/>
      <c r="E102" s="4" t="n"/>
      <c r="F102" s="4" t="n"/>
      <c r="G102" s="4" t="n"/>
      <c r="H102" s="4" t="n"/>
      <c r="I102" s="8" t="n"/>
      <c r="J102" s="4">
        <f>IF(AND(D102&lt;&gt;"",D102&lt;TODAY(),E102&lt;&gt;"Done",E102&lt;&gt;"Cancelled"),"OVERDUE","")</f>
        <v/>
      </c>
    </row>
    <row r="103">
      <c r="A103" s="4" t="n"/>
      <c r="B103" s="8" t="n"/>
      <c r="C103" s="4" t="n"/>
      <c r="D103" s="5" t="n"/>
      <c r="E103" s="4" t="n"/>
      <c r="F103" s="4" t="n"/>
      <c r="G103" s="4" t="n"/>
      <c r="H103" s="4" t="n"/>
      <c r="I103" s="8" t="n"/>
      <c r="J103" s="4">
        <f>IF(AND(D103&lt;&gt;"",D103&lt;TODAY(),E103&lt;&gt;"Done",E103&lt;&gt;"Cancelled"),"OVERDUE","")</f>
        <v/>
      </c>
    </row>
    <row r="104">
      <c r="A104" s="4" t="n"/>
      <c r="B104" s="8" t="n"/>
      <c r="C104" s="4" t="n"/>
      <c r="D104" s="5" t="n"/>
      <c r="E104" s="4" t="n"/>
      <c r="F104" s="4" t="n"/>
      <c r="G104" s="4" t="n"/>
      <c r="H104" s="4" t="n"/>
      <c r="I104" s="8" t="n"/>
      <c r="J104" s="4">
        <f>IF(AND(D104&lt;&gt;"",D104&lt;TODAY(),E104&lt;&gt;"Done",E104&lt;&gt;"Cancelled"),"OVERDUE","")</f>
        <v/>
      </c>
    </row>
    <row r="105">
      <c r="A105" s="4" t="n"/>
      <c r="B105" s="8" t="n"/>
      <c r="C105" s="4" t="n"/>
      <c r="D105" s="5" t="n"/>
      <c r="E105" s="4" t="n"/>
      <c r="F105" s="4" t="n"/>
      <c r="G105" s="4" t="n"/>
      <c r="H105" s="4" t="n"/>
      <c r="I105" s="8" t="n"/>
      <c r="J105" s="4">
        <f>IF(AND(D105&lt;&gt;"",D105&lt;TODAY(),E105&lt;&gt;"Done",E105&lt;&gt;"Cancelled"),"OVERDUE","")</f>
        <v/>
      </c>
    </row>
    <row r="106">
      <c r="A106" s="4" t="n"/>
      <c r="B106" s="8" t="n"/>
      <c r="C106" s="4" t="n"/>
      <c r="D106" s="5" t="n"/>
      <c r="E106" s="4" t="n"/>
      <c r="F106" s="4" t="n"/>
      <c r="G106" s="4" t="n"/>
      <c r="H106" s="4" t="n"/>
      <c r="I106" s="8" t="n"/>
      <c r="J106" s="4">
        <f>IF(AND(D106&lt;&gt;"",D106&lt;TODAY(),E106&lt;&gt;"Done",E106&lt;&gt;"Cancelled"),"OVERDUE","")</f>
        <v/>
      </c>
    </row>
    <row r="107">
      <c r="A107" s="4" t="n"/>
      <c r="B107" s="8" t="n"/>
      <c r="C107" s="4" t="n"/>
      <c r="D107" s="5" t="n"/>
      <c r="E107" s="4" t="n"/>
      <c r="F107" s="4" t="n"/>
      <c r="G107" s="4" t="n"/>
      <c r="H107" s="4" t="n"/>
      <c r="I107" s="8" t="n"/>
      <c r="J107" s="4">
        <f>IF(AND(D107&lt;&gt;"",D107&lt;TODAY(),E107&lt;&gt;"Done",E107&lt;&gt;"Cancelled"),"OVERDUE","")</f>
        <v/>
      </c>
    </row>
    <row r="108">
      <c r="A108" s="4" t="n"/>
      <c r="B108" s="8" t="n"/>
      <c r="C108" s="4" t="n"/>
      <c r="D108" s="5" t="n"/>
      <c r="E108" s="4" t="n"/>
      <c r="F108" s="4" t="n"/>
      <c r="G108" s="4" t="n"/>
      <c r="H108" s="4" t="n"/>
      <c r="I108" s="8" t="n"/>
      <c r="J108" s="4">
        <f>IF(AND(D108&lt;&gt;"",D108&lt;TODAY(),E108&lt;&gt;"Done",E108&lt;&gt;"Cancelled"),"OVERDUE","")</f>
        <v/>
      </c>
    </row>
    <row r="109">
      <c r="A109" s="4" t="n"/>
      <c r="B109" s="8" t="n"/>
      <c r="C109" s="4" t="n"/>
      <c r="D109" s="5" t="n"/>
      <c r="E109" s="4" t="n"/>
      <c r="F109" s="4" t="n"/>
      <c r="G109" s="4" t="n"/>
      <c r="H109" s="4" t="n"/>
      <c r="I109" s="8" t="n"/>
      <c r="J109" s="4">
        <f>IF(AND(D109&lt;&gt;"",D109&lt;TODAY(),E109&lt;&gt;"Done",E109&lt;&gt;"Cancelled"),"OVERDUE","")</f>
        <v/>
      </c>
    </row>
    <row r="110">
      <c r="A110" s="4" t="n"/>
      <c r="B110" s="8" t="n"/>
      <c r="C110" s="4" t="n"/>
      <c r="D110" s="5" t="n"/>
      <c r="E110" s="4" t="n"/>
      <c r="F110" s="4" t="n"/>
      <c r="G110" s="4" t="n"/>
      <c r="H110" s="4" t="n"/>
      <c r="I110" s="8" t="n"/>
      <c r="J110" s="4">
        <f>IF(AND(D110&lt;&gt;"",D110&lt;TODAY(),E110&lt;&gt;"Done",E110&lt;&gt;"Cancelled"),"OVERDUE","")</f>
        <v/>
      </c>
    </row>
    <row r="111">
      <c r="A111" s="4" t="n"/>
      <c r="B111" s="8" t="n"/>
      <c r="C111" s="4" t="n"/>
      <c r="D111" s="5" t="n"/>
      <c r="E111" s="4" t="n"/>
      <c r="F111" s="4" t="n"/>
      <c r="G111" s="4" t="n"/>
      <c r="H111" s="4" t="n"/>
      <c r="I111" s="8" t="n"/>
      <c r="J111" s="4">
        <f>IF(AND(D111&lt;&gt;"",D111&lt;TODAY(),E111&lt;&gt;"Done",E111&lt;&gt;"Cancelled"),"OVERDUE","")</f>
        <v/>
      </c>
    </row>
    <row r="112">
      <c r="A112" s="4" t="n"/>
      <c r="B112" s="8" t="n"/>
      <c r="C112" s="4" t="n"/>
      <c r="D112" s="5" t="n"/>
      <c r="E112" s="4" t="n"/>
      <c r="F112" s="4" t="n"/>
      <c r="G112" s="4" t="n"/>
      <c r="H112" s="4" t="n"/>
      <c r="I112" s="8" t="n"/>
      <c r="J112" s="4">
        <f>IF(AND(D112&lt;&gt;"",D112&lt;TODAY(),E112&lt;&gt;"Done",E112&lt;&gt;"Cancelled"),"OVERDUE","")</f>
        <v/>
      </c>
    </row>
    <row r="113">
      <c r="A113" s="4" t="n"/>
      <c r="B113" s="8" t="n"/>
      <c r="C113" s="4" t="n"/>
      <c r="D113" s="5" t="n"/>
      <c r="E113" s="4" t="n"/>
      <c r="F113" s="4" t="n"/>
      <c r="G113" s="4" t="n"/>
      <c r="H113" s="4" t="n"/>
      <c r="I113" s="8" t="n"/>
      <c r="J113" s="4">
        <f>IF(AND(D113&lt;&gt;"",D113&lt;TODAY(),E113&lt;&gt;"Done",E113&lt;&gt;"Cancelled"),"OVERDUE","")</f>
        <v/>
      </c>
    </row>
    <row r="114">
      <c r="A114" s="4" t="n"/>
      <c r="B114" s="8" t="n"/>
      <c r="C114" s="4" t="n"/>
      <c r="D114" s="5" t="n"/>
      <c r="E114" s="4" t="n"/>
      <c r="F114" s="4" t="n"/>
      <c r="G114" s="4" t="n"/>
      <c r="H114" s="4" t="n"/>
      <c r="I114" s="8" t="n"/>
      <c r="J114" s="4">
        <f>IF(AND(D114&lt;&gt;"",D114&lt;TODAY(),E114&lt;&gt;"Done",E114&lt;&gt;"Cancelled"),"OVERDUE","")</f>
        <v/>
      </c>
    </row>
    <row r="115">
      <c r="A115" s="4" t="n"/>
      <c r="B115" s="8" t="n"/>
      <c r="C115" s="4" t="n"/>
      <c r="D115" s="5" t="n"/>
      <c r="E115" s="4" t="n"/>
      <c r="F115" s="4" t="n"/>
      <c r="G115" s="4" t="n"/>
      <c r="H115" s="4" t="n"/>
      <c r="I115" s="8" t="n"/>
      <c r="J115" s="4">
        <f>IF(AND(D115&lt;&gt;"",D115&lt;TODAY(),E115&lt;&gt;"Done",E115&lt;&gt;"Cancelled"),"OVERDUE","")</f>
        <v/>
      </c>
    </row>
    <row r="116">
      <c r="A116" s="4" t="n"/>
      <c r="B116" s="8" t="n"/>
      <c r="C116" s="4" t="n"/>
      <c r="D116" s="5" t="n"/>
      <c r="E116" s="4" t="n"/>
      <c r="F116" s="4" t="n"/>
      <c r="G116" s="4" t="n"/>
      <c r="H116" s="4" t="n"/>
      <c r="I116" s="8" t="n"/>
      <c r="J116" s="4">
        <f>IF(AND(D116&lt;&gt;"",D116&lt;TODAY(),E116&lt;&gt;"Done",E116&lt;&gt;"Cancelled"),"OVERDUE","")</f>
        <v/>
      </c>
    </row>
    <row r="117">
      <c r="A117" s="4" t="n"/>
      <c r="B117" s="8" t="n"/>
      <c r="C117" s="4" t="n"/>
      <c r="D117" s="5" t="n"/>
      <c r="E117" s="4" t="n"/>
      <c r="F117" s="4" t="n"/>
      <c r="G117" s="4" t="n"/>
      <c r="H117" s="4" t="n"/>
      <c r="I117" s="8" t="n"/>
      <c r="J117" s="4">
        <f>IF(AND(D117&lt;&gt;"",D117&lt;TODAY(),E117&lt;&gt;"Done",E117&lt;&gt;"Cancelled"),"OVERDUE","")</f>
        <v/>
      </c>
    </row>
    <row r="118">
      <c r="A118" s="4" t="n"/>
      <c r="B118" s="8" t="n"/>
      <c r="C118" s="4" t="n"/>
      <c r="D118" s="5" t="n"/>
      <c r="E118" s="4" t="n"/>
      <c r="F118" s="4" t="n"/>
      <c r="G118" s="4" t="n"/>
      <c r="H118" s="4" t="n"/>
      <c r="I118" s="8" t="n"/>
      <c r="J118" s="4">
        <f>IF(AND(D118&lt;&gt;"",D118&lt;TODAY(),E118&lt;&gt;"Done",E118&lt;&gt;"Cancelled"),"OVERDUE","")</f>
        <v/>
      </c>
    </row>
    <row r="119">
      <c r="A119" s="4" t="n"/>
      <c r="B119" s="8" t="n"/>
      <c r="C119" s="4" t="n"/>
      <c r="D119" s="5" t="n"/>
      <c r="E119" s="4" t="n"/>
      <c r="F119" s="4" t="n"/>
      <c r="G119" s="4" t="n"/>
      <c r="H119" s="4" t="n"/>
      <c r="I119" s="8" t="n"/>
      <c r="J119" s="4">
        <f>IF(AND(D119&lt;&gt;"",D119&lt;TODAY(),E119&lt;&gt;"Done",E119&lt;&gt;"Cancelled"),"OVERDUE","")</f>
        <v/>
      </c>
    </row>
    <row r="120">
      <c r="A120" s="4" t="n"/>
      <c r="B120" s="8" t="n"/>
      <c r="C120" s="4" t="n"/>
      <c r="D120" s="5" t="n"/>
      <c r="E120" s="4" t="n"/>
      <c r="F120" s="4" t="n"/>
      <c r="G120" s="4" t="n"/>
      <c r="H120" s="4" t="n"/>
      <c r="I120" s="8" t="n"/>
      <c r="J120" s="4">
        <f>IF(AND(D120&lt;&gt;"",D120&lt;TODAY(),E120&lt;&gt;"Done",E120&lt;&gt;"Cancelled"),"OVERDUE","")</f>
        <v/>
      </c>
    </row>
    <row r="121">
      <c r="A121" s="4" t="n"/>
      <c r="B121" s="8" t="n"/>
      <c r="C121" s="4" t="n"/>
      <c r="D121" s="5" t="n"/>
      <c r="E121" s="4" t="n"/>
      <c r="F121" s="4" t="n"/>
      <c r="G121" s="4" t="n"/>
      <c r="H121" s="4" t="n"/>
      <c r="I121" s="8" t="n"/>
      <c r="J121" s="4">
        <f>IF(AND(D121&lt;&gt;"",D121&lt;TODAY(),E121&lt;&gt;"Done",E121&lt;&gt;"Cancelled"),"OVERDUE","")</f>
        <v/>
      </c>
    </row>
    <row r="122">
      <c r="A122" s="4" t="n"/>
      <c r="B122" s="8" t="n"/>
      <c r="C122" s="4" t="n"/>
      <c r="D122" s="5" t="n"/>
      <c r="E122" s="4" t="n"/>
      <c r="F122" s="4" t="n"/>
      <c r="G122" s="4" t="n"/>
      <c r="H122" s="4" t="n"/>
      <c r="I122" s="8" t="n"/>
      <c r="J122" s="4">
        <f>IF(AND(D122&lt;&gt;"",D122&lt;TODAY(),E122&lt;&gt;"Done",E122&lt;&gt;"Cancelled"),"OVERDUE","")</f>
        <v/>
      </c>
    </row>
    <row r="123">
      <c r="A123" s="4" t="n"/>
      <c r="B123" s="8" t="n"/>
      <c r="C123" s="4" t="n"/>
      <c r="D123" s="5" t="n"/>
      <c r="E123" s="4" t="n"/>
      <c r="F123" s="4" t="n"/>
      <c r="G123" s="4" t="n"/>
      <c r="H123" s="4" t="n"/>
      <c r="I123" s="8" t="n"/>
      <c r="J123" s="4">
        <f>IF(AND(D123&lt;&gt;"",D123&lt;TODAY(),E123&lt;&gt;"Done",E123&lt;&gt;"Cancelled"),"OVERDUE","")</f>
        <v/>
      </c>
    </row>
    <row r="124">
      <c r="A124" s="4" t="n"/>
      <c r="B124" s="8" t="n"/>
      <c r="C124" s="4" t="n"/>
      <c r="D124" s="5" t="n"/>
      <c r="E124" s="4" t="n"/>
      <c r="F124" s="4" t="n"/>
      <c r="G124" s="4" t="n"/>
      <c r="H124" s="4" t="n"/>
      <c r="I124" s="8" t="n"/>
      <c r="J124" s="4">
        <f>IF(AND(D124&lt;&gt;"",D124&lt;TODAY(),E124&lt;&gt;"Done",E124&lt;&gt;"Cancelled"),"OVERDUE","")</f>
        <v/>
      </c>
    </row>
    <row r="125">
      <c r="A125" s="4" t="n"/>
      <c r="B125" s="8" t="n"/>
      <c r="C125" s="4" t="n"/>
      <c r="D125" s="5" t="n"/>
      <c r="E125" s="4" t="n"/>
      <c r="F125" s="4" t="n"/>
      <c r="G125" s="4" t="n"/>
      <c r="H125" s="4" t="n"/>
      <c r="I125" s="8" t="n"/>
      <c r="J125" s="4">
        <f>IF(AND(D125&lt;&gt;"",D125&lt;TODAY(),E125&lt;&gt;"Done",E125&lt;&gt;"Cancelled"),"OVERDUE","")</f>
        <v/>
      </c>
    </row>
    <row r="126">
      <c r="A126" s="4" t="n"/>
      <c r="B126" s="8" t="n"/>
      <c r="C126" s="4" t="n"/>
      <c r="D126" s="5" t="n"/>
      <c r="E126" s="4" t="n"/>
      <c r="F126" s="4" t="n"/>
      <c r="G126" s="4" t="n"/>
      <c r="H126" s="4" t="n"/>
      <c r="I126" s="8" t="n"/>
      <c r="J126" s="4">
        <f>IF(AND(D126&lt;&gt;"",D126&lt;TODAY(),E126&lt;&gt;"Done",E126&lt;&gt;"Cancelled"),"OVERDUE","")</f>
        <v/>
      </c>
    </row>
    <row r="127">
      <c r="A127" s="4" t="n"/>
      <c r="B127" s="8" t="n"/>
      <c r="C127" s="4" t="n"/>
      <c r="D127" s="5" t="n"/>
      <c r="E127" s="4" t="n"/>
      <c r="F127" s="4" t="n"/>
      <c r="G127" s="4" t="n"/>
      <c r="H127" s="4" t="n"/>
      <c r="I127" s="8" t="n"/>
      <c r="J127" s="4">
        <f>IF(AND(D127&lt;&gt;"",D127&lt;TODAY(),E127&lt;&gt;"Done",E127&lt;&gt;"Cancelled"),"OVERDUE","")</f>
        <v/>
      </c>
    </row>
    <row r="128">
      <c r="A128" s="4" t="n"/>
      <c r="B128" s="8" t="n"/>
      <c r="C128" s="4" t="n"/>
      <c r="D128" s="5" t="n"/>
      <c r="E128" s="4" t="n"/>
      <c r="F128" s="4" t="n"/>
      <c r="G128" s="4" t="n"/>
      <c r="H128" s="4" t="n"/>
      <c r="I128" s="8" t="n"/>
      <c r="J128" s="4">
        <f>IF(AND(D128&lt;&gt;"",D128&lt;TODAY(),E128&lt;&gt;"Done",E128&lt;&gt;"Cancelled"),"OVERDUE","")</f>
        <v/>
      </c>
    </row>
    <row r="129">
      <c r="A129" s="4" t="n"/>
      <c r="B129" s="8" t="n"/>
      <c r="C129" s="4" t="n"/>
      <c r="D129" s="5" t="n"/>
      <c r="E129" s="4" t="n"/>
      <c r="F129" s="4" t="n"/>
      <c r="G129" s="4" t="n"/>
      <c r="H129" s="4" t="n"/>
      <c r="I129" s="8" t="n"/>
      <c r="J129" s="4">
        <f>IF(AND(D129&lt;&gt;"",D129&lt;TODAY(),E129&lt;&gt;"Done",E129&lt;&gt;"Cancelled"),"OVERDUE","")</f>
        <v/>
      </c>
    </row>
    <row r="130">
      <c r="A130" s="4" t="n"/>
      <c r="B130" s="8" t="n"/>
      <c r="C130" s="4" t="n"/>
      <c r="D130" s="5" t="n"/>
      <c r="E130" s="4" t="n"/>
      <c r="F130" s="4" t="n"/>
      <c r="G130" s="4" t="n"/>
      <c r="H130" s="4" t="n"/>
      <c r="I130" s="8" t="n"/>
      <c r="J130" s="4">
        <f>IF(AND(D130&lt;&gt;"",D130&lt;TODAY(),E130&lt;&gt;"Done",E130&lt;&gt;"Cancelled"),"OVERDUE","")</f>
        <v/>
      </c>
    </row>
    <row r="131">
      <c r="A131" s="4" t="n"/>
      <c r="B131" s="8" t="n"/>
      <c r="C131" s="4" t="n"/>
      <c r="D131" s="5" t="n"/>
      <c r="E131" s="4" t="n"/>
      <c r="F131" s="4" t="n"/>
      <c r="G131" s="4" t="n"/>
      <c r="H131" s="4" t="n"/>
      <c r="I131" s="8" t="n"/>
      <c r="J131" s="4">
        <f>IF(AND(D131&lt;&gt;"",D131&lt;TODAY(),E131&lt;&gt;"Done",E131&lt;&gt;"Cancelled"),"OVERDUE","")</f>
        <v/>
      </c>
    </row>
    <row r="132">
      <c r="A132" s="4" t="n"/>
      <c r="B132" s="8" t="n"/>
      <c r="C132" s="4" t="n"/>
      <c r="D132" s="5" t="n"/>
      <c r="E132" s="4" t="n"/>
      <c r="F132" s="4" t="n"/>
      <c r="G132" s="4" t="n"/>
      <c r="H132" s="4" t="n"/>
      <c r="I132" s="8" t="n"/>
      <c r="J132" s="4">
        <f>IF(AND(D132&lt;&gt;"",D132&lt;TODAY(),E132&lt;&gt;"Done",E132&lt;&gt;"Cancelled"),"OVERDUE","")</f>
        <v/>
      </c>
    </row>
    <row r="133">
      <c r="A133" s="4" t="n"/>
      <c r="B133" s="8" t="n"/>
      <c r="C133" s="4" t="n"/>
      <c r="D133" s="5" t="n"/>
      <c r="E133" s="4" t="n"/>
      <c r="F133" s="4" t="n"/>
      <c r="G133" s="4" t="n"/>
      <c r="H133" s="4" t="n"/>
      <c r="I133" s="8" t="n"/>
      <c r="J133" s="4">
        <f>IF(AND(D133&lt;&gt;"",D133&lt;TODAY(),E133&lt;&gt;"Done",E133&lt;&gt;"Cancelled"),"OVERDUE","")</f>
        <v/>
      </c>
    </row>
    <row r="134">
      <c r="A134" s="4" t="n"/>
      <c r="B134" s="8" t="n"/>
      <c r="C134" s="4" t="n"/>
      <c r="D134" s="5" t="n"/>
      <c r="E134" s="4" t="n"/>
      <c r="F134" s="4" t="n"/>
      <c r="G134" s="4" t="n"/>
      <c r="H134" s="4" t="n"/>
      <c r="I134" s="8" t="n"/>
      <c r="J134" s="4">
        <f>IF(AND(D134&lt;&gt;"",D134&lt;TODAY(),E134&lt;&gt;"Done",E134&lt;&gt;"Cancelled"),"OVERDUE","")</f>
        <v/>
      </c>
    </row>
    <row r="135">
      <c r="A135" s="4" t="n"/>
      <c r="B135" s="8" t="n"/>
      <c r="C135" s="4" t="n"/>
      <c r="D135" s="5" t="n"/>
      <c r="E135" s="4" t="n"/>
      <c r="F135" s="4" t="n"/>
      <c r="G135" s="4" t="n"/>
      <c r="H135" s="4" t="n"/>
      <c r="I135" s="8" t="n"/>
      <c r="J135" s="4">
        <f>IF(AND(D135&lt;&gt;"",D135&lt;TODAY(),E135&lt;&gt;"Done",E135&lt;&gt;"Cancelled"),"OVERDUE","")</f>
        <v/>
      </c>
    </row>
    <row r="136">
      <c r="A136" s="4" t="n"/>
      <c r="B136" s="8" t="n"/>
      <c r="C136" s="4" t="n"/>
      <c r="D136" s="5" t="n"/>
      <c r="E136" s="4" t="n"/>
      <c r="F136" s="4" t="n"/>
      <c r="G136" s="4" t="n"/>
      <c r="H136" s="4" t="n"/>
      <c r="I136" s="8" t="n"/>
      <c r="J136" s="4">
        <f>IF(AND(D136&lt;&gt;"",D136&lt;TODAY(),E136&lt;&gt;"Done",E136&lt;&gt;"Cancelled"),"OVERDUE","")</f>
        <v/>
      </c>
    </row>
    <row r="137">
      <c r="A137" s="4" t="n"/>
      <c r="B137" s="8" t="n"/>
      <c r="C137" s="4" t="n"/>
      <c r="D137" s="5" t="n"/>
      <c r="E137" s="4" t="n"/>
      <c r="F137" s="4" t="n"/>
      <c r="G137" s="4" t="n"/>
      <c r="H137" s="4" t="n"/>
      <c r="I137" s="8" t="n"/>
      <c r="J137" s="4">
        <f>IF(AND(D137&lt;&gt;"",D137&lt;TODAY(),E137&lt;&gt;"Done",E137&lt;&gt;"Cancelled"),"OVERDUE","")</f>
        <v/>
      </c>
    </row>
    <row r="138">
      <c r="A138" s="4" t="n"/>
      <c r="B138" s="8" t="n"/>
      <c r="C138" s="4" t="n"/>
      <c r="D138" s="5" t="n"/>
      <c r="E138" s="4" t="n"/>
      <c r="F138" s="4" t="n"/>
      <c r="G138" s="4" t="n"/>
      <c r="H138" s="4" t="n"/>
      <c r="I138" s="8" t="n"/>
      <c r="J138" s="4">
        <f>IF(AND(D138&lt;&gt;"",D138&lt;TODAY(),E138&lt;&gt;"Done",E138&lt;&gt;"Cancelled"),"OVERDUE","")</f>
        <v/>
      </c>
    </row>
    <row r="139">
      <c r="A139" s="4" t="n"/>
      <c r="B139" s="8" t="n"/>
      <c r="C139" s="4" t="n"/>
      <c r="D139" s="5" t="n"/>
      <c r="E139" s="4" t="n"/>
      <c r="F139" s="4" t="n"/>
      <c r="G139" s="4" t="n"/>
      <c r="H139" s="4" t="n"/>
      <c r="I139" s="8" t="n"/>
      <c r="J139" s="4">
        <f>IF(AND(D139&lt;&gt;"",D139&lt;TODAY(),E139&lt;&gt;"Done",E139&lt;&gt;"Cancelled"),"OVERDUE","")</f>
        <v/>
      </c>
    </row>
    <row r="140">
      <c r="A140" s="4" t="n"/>
      <c r="B140" s="8" t="n"/>
      <c r="C140" s="4" t="n"/>
      <c r="D140" s="5" t="n"/>
      <c r="E140" s="4" t="n"/>
      <c r="F140" s="4" t="n"/>
      <c r="G140" s="4" t="n"/>
      <c r="H140" s="4" t="n"/>
      <c r="I140" s="8" t="n"/>
      <c r="J140" s="4">
        <f>IF(AND(D140&lt;&gt;"",D140&lt;TODAY(),E140&lt;&gt;"Done",E140&lt;&gt;"Cancelled"),"OVERDUE","")</f>
        <v/>
      </c>
    </row>
    <row r="141">
      <c r="A141" s="4" t="n"/>
      <c r="B141" s="8" t="n"/>
      <c r="C141" s="4" t="n"/>
      <c r="D141" s="5" t="n"/>
      <c r="E141" s="4" t="n"/>
      <c r="F141" s="4" t="n"/>
      <c r="G141" s="4" t="n"/>
      <c r="H141" s="4" t="n"/>
      <c r="I141" s="8" t="n"/>
      <c r="J141" s="4">
        <f>IF(AND(D141&lt;&gt;"",D141&lt;TODAY(),E141&lt;&gt;"Done",E141&lt;&gt;"Cancelled"),"OVERDUE","")</f>
        <v/>
      </c>
    </row>
    <row r="142">
      <c r="A142" s="4" t="n"/>
      <c r="B142" s="8" t="n"/>
      <c r="C142" s="4" t="n"/>
      <c r="D142" s="5" t="n"/>
      <c r="E142" s="4" t="n"/>
      <c r="F142" s="4" t="n"/>
      <c r="G142" s="4" t="n"/>
      <c r="H142" s="4" t="n"/>
      <c r="I142" s="8" t="n"/>
      <c r="J142" s="4">
        <f>IF(AND(D142&lt;&gt;"",D142&lt;TODAY(),E142&lt;&gt;"Done",E142&lt;&gt;"Cancelled"),"OVERDUE","")</f>
        <v/>
      </c>
    </row>
    <row r="143">
      <c r="A143" s="4" t="n"/>
      <c r="B143" s="8" t="n"/>
      <c r="C143" s="4" t="n"/>
      <c r="D143" s="5" t="n"/>
      <c r="E143" s="4" t="n"/>
      <c r="F143" s="4" t="n"/>
      <c r="G143" s="4" t="n"/>
      <c r="H143" s="4" t="n"/>
      <c r="I143" s="8" t="n"/>
      <c r="J143" s="4">
        <f>IF(AND(D143&lt;&gt;"",D143&lt;TODAY(),E143&lt;&gt;"Done",E143&lt;&gt;"Cancelled"),"OVERDUE","")</f>
        <v/>
      </c>
    </row>
    <row r="144">
      <c r="A144" s="4" t="n"/>
      <c r="B144" s="8" t="n"/>
      <c r="C144" s="4" t="n"/>
      <c r="D144" s="5" t="n"/>
      <c r="E144" s="4" t="n"/>
      <c r="F144" s="4" t="n"/>
      <c r="G144" s="4" t="n"/>
      <c r="H144" s="4" t="n"/>
      <c r="I144" s="8" t="n"/>
      <c r="J144" s="4">
        <f>IF(AND(D144&lt;&gt;"",D144&lt;TODAY(),E144&lt;&gt;"Done",E144&lt;&gt;"Cancelled"),"OVERDUE","")</f>
        <v/>
      </c>
    </row>
    <row r="145">
      <c r="A145" s="4" t="n"/>
      <c r="B145" s="8" t="n"/>
      <c r="C145" s="4" t="n"/>
      <c r="D145" s="5" t="n"/>
      <c r="E145" s="4" t="n"/>
      <c r="F145" s="4" t="n"/>
      <c r="G145" s="4" t="n"/>
      <c r="H145" s="4" t="n"/>
      <c r="I145" s="8" t="n"/>
      <c r="J145" s="4">
        <f>IF(AND(D145&lt;&gt;"",D145&lt;TODAY(),E145&lt;&gt;"Done",E145&lt;&gt;"Cancelled"),"OVERDUE","")</f>
        <v/>
      </c>
    </row>
    <row r="146">
      <c r="A146" s="4" t="n"/>
      <c r="B146" s="8" t="n"/>
      <c r="C146" s="4" t="n"/>
      <c r="D146" s="5" t="n"/>
      <c r="E146" s="4" t="n"/>
      <c r="F146" s="4" t="n"/>
      <c r="G146" s="4" t="n"/>
      <c r="H146" s="4" t="n"/>
      <c r="I146" s="8" t="n"/>
      <c r="J146" s="4">
        <f>IF(AND(D146&lt;&gt;"",D146&lt;TODAY(),E146&lt;&gt;"Done",E146&lt;&gt;"Cancelled"),"OVERDUE","")</f>
        <v/>
      </c>
    </row>
    <row r="147">
      <c r="A147" s="4" t="n"/>
      <c r="B147" s="8" t="n"/>
      <c r="C147" s="4" t="n"/>
      <c r="D147" s="5" t="n"/>
      <c r="E147" s="4" t="n"/>
      <c r="F147" s="4" t="n"/>
      <c r="G147" s="4" t="n"/>
      <c r="H147" s="4" t="n"/>
      <c r="I147" s="8" t="n"/>
      <c r="J147" s="4">
        <f>IF(AND(D147&lt;&gt;"",D147&lt;TODAY(),E147&lt;&gt;"Done",E147&lt;&gt;"Cancelled"),"OVERDUE","")</f>
        <v/>
      </c>
    </row>
    <row r="148">
      <c r="A148" s="4" t="n"/>
      <c r="B148" s="8" t="n"/>
      <c r="C148" s="4" t="n"/>
      <c r="D148" s="5" t="n"/>
      <c r="E148" s="4" t="n"/>
      <c r="F148" s="4" t="n"/>
      <c r="G148" s="4" t="n"/>
      <c r="H148" s="4" t="n"/>
      <c r="I148" s="8" t="n"/>
      <c r="J148" s="4">
        <f>IF(AND(D148&lt;&gt;"",D148&lt;TODAY(),E148&lt;&gt;"Done",E148&lt;&gt;"Cancelled"),"OVERDUE","")</f>
        <v/>
      </c>
    </row>
    <row r="149">
      <c r="A149" s="4" t="n"/>
      <c r="B149" s="8" t="n"/>
      <c r="C149" s="4" t="n"/>
      <c r="D149" s="5" t="n"/>
      <c r="E149" s="4" t="n"/>
      <c r="F149" s="4" t="n"/>
      <c r="G149" s="4" t="n"/>
      <c r="H149" s="4" t="n"/>
      <c r="I149" s="8" t="n"/>
      <c r="J149" s="4">
        <f>IF(AND(D149&lt;&gt;"",D149&lt;TODAY(),E149&lt;&gt;"Done",E149&lt;&gt;"Cancelled"),"OVERDUE","")</f>
        <v/>
      </c>
    </row>
    <row r="150">
      <c r="A150" s="4" t="n"/>
      <c r="B150" s="8" t="n"/>
      <c r="C150" s="4" t="n"/>
      <c r="D150" s="5" t="n"/>
      <c r="E150" s="4" t="n"/>
      <c r="F150" s="4" t="n"/>
      <c r="G150" s="4" t="n"/>
      <c r="H150" s="4" t="n"/>
      <c r="I150" s="8" t="n"/>
      <c r="J150" s="4">
        <f>IF(AND(D150&lt;&gt;"",D150&lt;TODAY(),E150&lt;&gt;"Done",E150&lt;&gt;"Cancelled"),"OVERDUE","")</f>
        <v/>
      </c>
    </row>
    <row r="151">
      <c r="A151" s="4" t="n"/>
      <c r="B151" s="8" t="n"/>
      <c r="C151" s="4" t="n"/>
      <c r="D151" s="5" t="n"/>
      <c r="E151" s="4" t="n"/>
      <c r="F151" s="4" t="n"/>
      <c r="G151" s="4" t="n"/>
      <c r="H151" s="4" t="n"/>
      <c r="I151" s="8" t="n"/>
      <c r="J151" s="4">
        <f>IF(AND(D151&lt;&gt;"",D151&lt;TODAY(),E151&lt;&gt;"Done",E151&lt;&gt;"Cancelled"),"OVERDUE","")</f>
        <v/>
      </c>
    </row>
    <row r="152">
      <c r="A152" s="4" t="n"/>
      <c r="B152" s="8" t="n"/>
      <c r="C152" s="4" t="n"/>
      <c r="D152" s="5" t="n"/>
      <c r="E152" s="4" t="n"/>
      <c r="F152" s="4" t="n"/>
      <c r="G152" s="4" t="n"/>
      <c r="H152" s="4" t="n"/>
      <c r="I152" s="8" t="n"/>
      <c r="J152" s="4">
        <f>IF(AND(D152&lt;&gt;"",D152&lt;TODAY(),E152&lt;&gt;"Done",E152&lt;&gt;"Cancelled"),"OVERDUE","")</f>
        <v/>
      </c>
    </row>
    <row r="153">
      <c r="A153" s="4" t="n"/>
      <c r="B153" s="8" t="n"/>
      <c r="C153" s="4" t="n"/>
      <c r="D153" s="5" t="n"/>
      <c r="E153" s="4" t="n"/>
      <c r="F153" s="4" t="n"/>
      <c r="G153" s="4" t="n"/>
      <c r="H153" s="4" t="n"/>
      <c r="I153" s="8" t="n"/>
      <c r="J153" s="4">
        <f>IF(AND(D153&lt;&gt;"",D153&lt;TODAY(),E153&lt;&gt;"Done",E153&lt;&gt;"Cancelled"),"OVERDUE","")</f>
        <v/>
      </c>
    </row>
    <row r="154">
      <c r="A154" s="4" t="n"/>
      <c r="B154" s="8" t="n"/>
      <c r="C154" s="4" t="n"/>
      <c r="D154" s="5" t="n"/>
      <c r="E154" s="4" t="n"/>
      <c r="F154" s="4" t="n"/>
      <c r="G154" s="4" t="n"/>
      <c r="H154" s="4" t="n"/>
      <c r="I154" s="8" t="n"/>
      <c r="J154" s="4">
        <f>IF(AND(D154&lt;&gt;"",D154&lt;TODAY(),E154&lt;&gt;"Done",E154&lt;&gt;"Cancelled"),"OVERDUE","")</f>
        <v/>
      </c>
    </row>
    <row r="155">
      <c r="A155" s="4" t="n"/>
      <c r="B155" s="8" t="n"/>
      <c r="C155" s="4" t="n"/>
      <c r="D155" s="5" t="n"/>
      <c r="E155" s="4" t="n"/>
      <c r="F155" s="4" t="n"/>
      <c r="G155" s="4" t="n"/>
      <c r="H155" s="4" t="n"/>
      <c r="I155" s="8" t="n"/>
      <c r="J155" s="4">
        <f>IF(AND(D155&lt;&gt;"",D155&lt;TODAY(),E155&lt;&gt;"Done",E155&lt;&gt;"Cancelled"),"OVERDUE","")</f>
        <v/>
      </c>
    </row>
    <row r="156">
      <c r="A156" s="4" t="n"/>
      <c r="B156" s="8" t="n"/>
      <c r="C156" s="4" t="n"/>
      <c r="D156" s="5" t="n"/>
      <c r="E156" s="4" t="n"/>
      <c r="F156" s="4" t="n"/>
      <c r="G156" s="4" t="n"/>
      <c r="H156" s="4" t="n"/>
      <c r="I156" s="8" t="n"/>
      <c r="J156" s="4">
        <f>IF(AND(D156&lt;&gt;"",D156&lt;TODAY(),E156&lt;&gt;"Done",E156&lt;&gt;"Cancelled"),"OVERDUE","")</f>
        <v/>
      </c>
    </row>
    <row r="157">
      <c r="A157" s="4" t="n"/>
      <c r="B157" s="8" t="n"/>
      <c r="C157" s="4" t="n"/>
      <c r="D157" s="5" t="n"/>
      <c r="E157" s="4" t="n"/>
      <c r="F157" s="4" t="n"/>
      <c r="G157" s="4" t="n"/>
      <c r="H157" s="4" t="n"/>
      <c r="I157" s="8" t="n"/>
      <c r="J157" s="4">
        <f>IF(AND(D157&lt;&gt;"",D157&lt;TODAY(),E157&lt;&gt;"Done",E157&lt;&gt;"Cancelled"),"OVERDUE","")</f>
        <v/>
      </c>
    </row>
    <row r="158">
      <c r="A158" s="4" t="n"/>
      <c r="B158" s="8" t="n"/>
      <c r="C158" s="4" t="n"/>
      <c r="D158" s="5" t="n"/>
      <c r="E158" s="4" t="n"/>
      <c r="F158" s="4" t="n"/>
      <c r="G158" s="4" t="n"/>
      <c r="H158" s="4" t="n"/>
      <c r="I158" s="8" t="n"/>
      <c r="J158" s="4">
        <f>IF(AND(D158&lt;&gt;"",D158&lt;TODAY(),E158&lt;&gt;"Done",E158&lt;&gt;"Cancelled"),"OVERDUE","")</f>
        <v/>
      </c>
    </row>
    <row r="159">
      <c r="A159" s="4" t="n"/>
      <c r="B159" s="8" t="n"/>
      <c r="C159" s="4" t="n"/>
      <c r="D159" s="5" t="n"/>
      <c r="E159" s="4" t="n"/>
      <c r="F159" s="4" t="n"/>
      <c r="G159" s="4" t="n"/>
      <c r="H159" s="4" t="n"/>
      <c r="I159" s="8" t="n"/>
      <c r="J159" s="4">
        <f>IF(AND(D159&lt;&gt;"",D159&lt;TODAY(),E159&lt;&gt;"Done",E159&lt;&gt;"Cancelled"),"OVERDUE","")</f>
        <v/>
      </c>
    </row>
    <row r="160">
      <c r="A160" s="4" t="n"/>
      <c r="B160" s="8" t="n"/>
      <c r="C160" s="4" t="n"/>
      <c r="D160" s="5" t="n"/>
      <c r="E160" s="4" t="n"/>
      <c r="F160" s="4" t="n"/>
      <c r="G160" s="4" t="n"/>
      <c r="H160" s="4" t="n"/>
      <c r="I160" s="8" t="n"/>
      <c r="J160" s="4">
        <f>IF(AND(D160&lt;&gt;"",D160&lt;TODAY(),E160&lt;&gt;"Done",E160&lt;&gt;"Cancelled"),"OVERDUE","")</f>
        <v/>
      </c>
    </row>
    <row r="161">
      <c r="A161" s="4" t="n"/>
      <c r="B161" s="8" t="n"/>
      <c r="C161" s="4" t="n"/>
      <c r="D161" s="5" t="n"/>
      <c r="E161" s="4" t="n"/>
      <c r="F161" s="4" t="n"/>
      <c r="G161" s="4" t="n"/>
      <c r="H161" s="4" t="n"/>
      <c r="I161" s="8" t="n"/>
      <c r="J161" s="4">
        <f>IF(AND(D161&lt;&gt;"",D161&lt;TODAY(),E161&lt;&gt;"Done",E161&lt;&gt;"Cancelled"),"OVERDUE","")</f>
        <v/>
      </c>
    </row>
    <row r="162">
      <c r="A162" s="4" t="n"/>
      <c r="B162" s="8" t="n"/>
      <c r="C162" s="4" t="n"/>
      <c r="D162" s="5" t="n"/>
      <c r="E162" s="4" t="n"/>
      <c r="F162" s="4" t="n"/>
      <c r="G162" s="4" t="n"/>
      <c r="H162" s="4" t="n"/>
      <c r="I162" s="8" t="n"/>
      <c r="J162" s="4">
        <f>IF(AND(D162&lt;&gt;"",D162&lt;TODAY(),E162&lt;&gt;"Done",E162&lt;&gt;"Cancelled"),"OVERDUE","")</f>
        <v/>
      </c>
    </row>
    <row r="163">
      <c r="A163" s="4" t="n"/>
      <c r="B163" s="8" t="n"/>
      <c r="C163" s="4" t="n"/>
      <c r="D163" s="5" t="n"/>
      <c r="E163" s="4" t="n"/>
      <c r="F163" s="4" t="n"/>
      <c r="G163" s="4" t="n"/>
      <c r="H163" s="4" t="n"/>
      <c r="I163" s="8" t="n"/>
      <c r="J163" s="4">
        <f>IF(AND(D163&lt;&gt;"",D163&lt;TODAY(),E163&lt;&gt;"Done",E163&lt;&gt;"Cancelled"),"OVERDUE","")</f>
        <v/>
      </c>
    </row>
    <row r="164">
      <c r="A164" s="4" t="n"/>
      <c r="B164" s="8" t="n"/>
      <c r="C164" s="4" t="n"/>
      <c r="D164" s="5" t="n"/>
      <c r="E164" s="4" t="n"/>
      <c r="F164" s="4" t="n"/>
      <c r="G164" s="4" t="n"/>
      <c r="H164" s="4" t="n"/>
      <c r="I164" s="8" t="n"/>
      <c r="J164" s="4">
        <f>IF(AND(D164&lt;&gt;"",D164&lt;TODAY(),E164&lt;&gt;"Done",E164&lt;&gt;"Cancelled"),"OVERDUE","")</f>
        <v/>
      </c>
    </row>
    <row r="165">
      <c r="A165" s="4" t="n"/>
      <c r="B165" s="8" t="n"/>
      <c r="C165" s="4" t="n"/>
      <c r="D165" s="5" t="n"/>
      <c r="E165" s="4" t="n"/>
      <c r="F165" s="4" t="n"/>
      <c r="G165" s="4" t="n"/>
      <c r="H165" s="4" t="n"/>
      <c r="I165" s="8" t="n"/>
      <c r="J165" s="4">
        <f>IF(AND(D165&lt;&gt;"",D165&lt;TODAY(),E165&lt;&gt;"Done",E165&lt;&gt;"Cancelled"),"OVERDUE","")</f>
        <v/>
      </c>
    </row>
    <row r="166">
      <c r="A166" s="4" t="n"/>
      <c r="B166" s="8" t="n"/>
      <c r="C166" s="4" t="n"/>
      <c r="D166" s="5" t="n"/>
      <c r="E166" s="4" t="n"/>
      <c r="F166" s="4" t="n"/>
      <c r="G166" s="4" t="n"/>
      <c r="H166" s="4" t="n"/>
      <c r="I166" s="8" t="n"/>
      <c r="J166" s="4">
        <f>IF(AND(D166&lt;&gt;"",D166&lt;TODAY(),E166&lt;&gt;"Done",E166&lt;&gt;"Cancelled"),"OVERDUE","")</f>
        <v/>
      </c>
    </row>
    <row r="167">
      <c r="A167" s="4" t="n"/>
      <c r="B167" s="8" t="n"/>
      <c r="C167" s="4" t="n"/>
      <c r="D167" s="5" t="n"/>
      <c r="E167" s="4" t="n"/>
      <c r="F167" s="4" t="n"/>
      <c r="G167" s="4" t="n"/>
      <c r="H167" s="4" t="n"/>
      <c r="I167" s="8" t="n"/>
      <c r="J167" s="4">
        <f>IF(AND(D167&lt;&gt;"",D167&lt;TODAY(),E167&lt;&gt;"Done",E167&lt;&gt;"Cancelled"),"OVERDUE","")</f>
        <v/>
      </c>
    </row>
    <row r="168">
      <c r="A168" s="4" t="n"/>
      <c r="B168" s="8" t="n"/>
      <c r="C168" s="4" t="n"/>
      <c r="D168" s="5" t="n"/>
      <c r="E168" s="4" t="n"/>
      <c r="F168" s="4" t="n"/>
      <c r="G168" s="4" t="n"/>
      <c r="H168" s="4" t="n"/>
      <c r="I168" s="8" t="n"/>
      <c r="J168" s="4">
        <f>IF(AND(D168&lt;&gt;"",D168&lt;TODAY(),E168&lt;&gt;"Done",E168&lt;&gt;"Cancelled"),"OVERDUE","")</f>
        <v/>
      </c>
    </row>
    <row r="169">
      <c r="A169" s="4" t="n"/>
      <c r="B169" s="8" t="n"/>
      <c r="C169" s="4" t="n"/>
      <c r="D169" s="5" t="n"/>
      <c r="E169" s="4" t="n"/>
      <c r="F169" s="4" t="n"/>
      <c r="G169" s="4" t="n"/>
      <c r="H169" s="4" t="n"/>
      <c r="I169" s="8" t="n"/>
      <c r="J169" s="4">
        <f>IF(AND(D169&lt;&gt;"",D169&lt;TODAY(),E169&lt;&gt;"Done",E169&lt;&gt;"Cancelled"),"OVERDUE","")</f>
        <v/>
      </c>
    </row>
    <row r="170">
      <c r="A170" s="4" t="n"/>
      <c r="B170" s="8" t="n"/>
      <c r="C170" s="4" t="n"/>
      <c r="D170" s="5" t="n"/>
      <c r="E170" s="4" t="n"/>
      <c r="F170" s="4" t="n"/>
      <c r="G170" s="4" t="n"/>
      <c r="H170" s="4" t="n"/>
      <c r="I170" s="8" t="n"/>
      <c r="J170" s="4">
        <f>IF(AND(D170&lt;&gt;"",D170&lt;TODAY(),E170&lt;&gt;"Done",E170&lt;&gt;"Cancelled"),"OVERDUE","")</f>
        <v/>
      </c>
    </row>
    <row r="171">
      <c r="A171" s="4" t="n"/>
      <c r="B171" s="8" t="n"/>
      <c r="C171" s="4" t="n"/>
      <c r="D171" s="5" t="n"/>
      <c r="E171" s="4" t="n"/>
      <c r="F171" s="4" t="n"/>
      <c r="G171" s="4" t="n"/>
      <c r="H171" s="4" t="n"/>
      <c r="I171" s="8" t="n"/>
      <c r="J171" s="4">
        <f>IF(AND(D171&lt;&gt;"",D171&lt;TODAY(),E171&lt;&gt;"Done",E171&lt;&gt;"Cancelled"),"OVERDUE","")</f>
        <v/>
      </c>
    </row>
    <row r="172">
      <c r="A172" s="4" t="n"/>
      <c r="B172" s="8" t="n"/>
      <c r="C172" s="4" t="n"/>
      <c r="D172" s="5" t="n"/>
      <c r="E172" s="4" t="n"/>
      <c r="F172" s="4" t="n"/>
      <c r="G172" s="4" t="n"/>
      <c r="H172" s="4" t="n"/>
      <c r="I172" s="8" t="n"/>
      <c r="J172" s="4">
        <f>IF(AND(D172&lt;&gt;"",D172&lt;TODAY(),E172&lt;&gt;"Done",E172&lt;&gt;"Cancelled"),"OVERDUE","")</f>
        <v/>
      </c>
    </row>
    <row r="173">
      <c r="A173" s="4" t="n"/>
      <c r="B173" s="8" t="n"/>
      <c r="C173" s="4" t="n"/>
      <c r="D173" s="5" t="n"/>
      <c r="E173" s="4" t="n"/>
      <c r="F173" s="4" t="n"/>
      <c r="G173" s="4" t="n"/>
      <c r="H173" s="4" t="n"/>
      <c r="I173" s="8" t="n"/>
      <c r="J173" s="4">
        <f>IF(AND(D173&lt;&gt;"",D173&lt;TODAY(),E173&lt;&gt;"Done",E173&lt;&gt;"Cancelled"),"OVERDUE","")</f>
        <v/>
      </c>
    </row>
    <row r="174">
      <c r="A174" s="4" t="n"/>
      <c r="B174" s="8" t="n"/>
      <c r="C174" s="4" t="n"/>
      <c r="D174" s="5" t="n"/>
      <c r="E174" s="4" t="n"/>
      <c r="F174" s="4" t="n"/>
      <c r="G174" s="4" t="n"/>
      <c r="H174" s="4" t="n"/>
      <c r="I174" s="8" t="n"/>
      <c r="J174" s="4">
        <f>IF(AND(D174&lt;&gt;"",D174&lt;TODAY(),E174&lt;&gt;"Done",E174&lt;&gt;"Cancelled"),"OVERDUE","")</f>
        <v/>
      </c>
    </row>
    <row r="175">
      <c r="A175" s="4" t="n"/>
      <c r="B175" s="8" t="n"/>
      <c r="C175" s="4" t="n"/>
      <c r="D175" s="5" t="n"/>
      <c r="E175" s="4" t="n"/>
      <c r="F175" s="4" t="n"/>
      <c r="G175" s="4" t="n"/>
      <c r="H175" s="4" t="n"/>
      <c r="I175" s="8" t="n"/>
      <c r="J175" s="4">
        <f>IF(AND(D175&lt;&gt;"",D175&lt;TODAY(),E175&lt;&gt;"Done",E175&lt;&gt;"Cancelled"),"OVERDUE","")</f>
        <v/>
      </c>
    </row>
    <row r="176">
      <c r="A176" s="4" t="n"/>
      <c r="B176" s="8" t="n"/>
      <c r="C176" s="4" t="n"/>
      <c r="D176" s="5" t="n"/>
      <c r="E176" s="4" t="n"/>
      <c r="F176" s="4" t="n"/>
      <c r="G176" s="4" t="n"/>
      <c r="H176" s="4" t="n"/>
      <c r="I176" s="8" t="n"/>
      <c r="J176" s="4">
        <f>IF(AND(D176&lt;&gt;"",D176&lt;TODAY(),E176&lt;&gt;"Done",E176&lt;&gt;"Cancelled"),"OVERDUE","")</f>
        <v/>
      </c>
    </row>
    <row r="177">
      <c r="A177" s="4" t="n"/>
      <c r="B177" s="8" t="n"/>
      <c r="C177" s="4" t="n"/>
      <c r="D177" s="5" t="n"/>
      <c r="E177" s="4" t="n"/>
      <c r="F177" s="4" t="n"/>
      <c r="G177" s="4" t="n"/>
      <c r="H177" s="4" t="n"/>
      <c r="I177" s="8" t="n"/>
      <c r="J177" s="4">
        <f>IF(AND(D177&lt;&gt;"",D177&lt;TODAY(),E177&lt;&gt;"Done",E177&lt;&gt;"Cancelled"),"OVERDUE","")</f>
        <v/>
      </c>
    </row>
    <row r="178">
      <c r="A178" s="4" t="n"/>
      <c r="B178" s="8" t="n"/>
      <c r="C178" s="4" t="n"/>
      <c r="D178" s="5" t="n"/>
      <c r="E178" s="4" t="n"/>
      <c r="F178" s="4" t="n"/>
      <c r="G178" s="4" t="n"/>
      <c r="H178" s="4" t="n"/>
      <c r="I178" s="8" t="n"/>
      <c r="J178" s="4">
        <f>IF(AND(D178&lt;&gt;"",D178&lt;TODAY(),E178&lt;&gt;"Done",E178&lt;&gt;"Cancelled"),"OVERDUE","")</f>
        <v/>
      </c>
    </row>
    <row r="179">
      <c r="A179" s="4" t="n"/>
      <c r="B179" s="8" t="n"/>
      <c r="C179" s="4" t="n"/>
      <c r="D179" s="5" t="n"/>
      <c r="E179" s="4" t="n"/>
      <c r="F179" s="4" t="n"/>
      <c r="G179" s="4" t="n"/>
      <c r="H179" s="4" t="n"/>
      <c r="I179" s="8" t="n"/>
      <c r="J179" s="4">
        <f>IF(AND(D179&lt;&gt;"",D179&lt;TODAY(),E179&lt;&gt;"Done",E179&lt;&gt;"Cancelled"),"OVERDUE","")</f>
        <v/>
      </c>
    </row>
    <row r="180">
      <c r="A180" s="4" t="n"/>
      <c r="B180" s="8" t="n"/>
      <c r="C180" s="4" t="n"/>
      <c r="D180" s="5" t="n"/>
      <c r="E180" s="4" t="n"/>
      <c r="F180" s="4" t="n"/>
      <c r="G180" s="4" t="n"/>
      <c r="H180" s="4" t="n"/>
      <c r="I180" s="8" t="n"/>
      <c r="J180" s="4">
        <f>IF(AND(D180&lt;&gt;"",D180&lt;TODAY(),E180&lt;&gt;"Done",E180&lt;&gt;"Cancelled"),"OVERDUE","")</f>
        <v/>
      </c>
    </row>
    <row r="181">
      <c r="A181" s="4" t="n"/>
      <c r="B181" s="8" t="n"/>
      <c r="C181" s="4" t="n"/>
      <c r="D181" s="5" t="n"/>
      <c r="E181" s="4" t="n"/>
      <c r="F181" s="4" t="n"/>
      <c r="G181" s="4" t="n"/>
      <c r="H181" s="4" t="n"/>
      <c r="I181" s="8" t="n"/>
      <c r="J181" s="4">
        <f>IF(AND(D181&lt;&gt;"",D181&lt;TODAY(),E181&lt;&gt;"Done",E181&lt;&gt;"Cancelled"),"OVERDUE","")</f>
        <v/>
      </c>
    </row>
    <row r="182">
      <c r="A182" s="4" t="n"/>
      <c r="B182" s="8" t="n"/>
      <c r="C182" s="4" t="n"/>
      <c r="D182" s="5" t="n"/>
      <c r="E182" s="4" t="n"/>
      <c r="F182" s="4" t="n"/>
      <c r="G182" s="4" t="n"/>
      <c r="H182" s="4" t="n"/>
      <c r="I182" s="8" t="n"/>
      <c r="J182" s="4">
        <f>IF(AND(D182&lt;&gt;"",D182&lt;TODAY(),E182&lt;&gt;"Done",E182&lt;&gt;"Cancelled"),"OVERDUE","")</f>
        <v/>
      </c>
    </row>
    <row r="183">
      <c r="A183" s="4" t="n"/>
      <c r="B183" s="8" t="n"/>
      <c r="C183" s="4" t="n"/>
      <c r="D183" s="5" t="n"/>
      <c r="E183" s="4" t="n"/>
      <c r="F183" s="4" t="n"/>
      <c r="G183" s="4" t="n"/>
      <c r="H183" s="4" t="n"/>
      <c r="I183" s="8" t="n"/>
      <c r="J183" s="4">
        <f>IF(AND(D183&lt;&gt;"",D183&lt;TODAY(),E183&lt;&gt;"Done",E183&lt;&gt;"Cancelled"),"OVERDUE","")</f>
        <v/>
      </c>
    </row>
    <row r="184">
      <c r="A184" s="4" t="n"/>
      <c r="B184" s="8" t="n"/>
      <c r="C184" s="4" t="n"/>
      <c r="D184" s="5" t="n"/>
      <c r="E184" s="4" t="n"/>
      <c r="F184" s="4" t="n"/>
      <c r="G184" s="4" t="n"/>
      <c r="H184" s="4" t="n"/>
      <c r="I184" s="8" t="n"/>
      <c r="J184" s="4">
        <f>IF(AND(D184&lt;&gt;"",D184&lt;TODAY(),E184&lt;&gt;"Done",E184&lt;&gt;"Cancelled"),"OVERDUE","")</f>
        <v/>
      </c>
    </row>
    <row r="185">
      <c r="A185" s="4" t="n"/>
      <c r="B185" s="8" t="n"/>
      <c r="C185" s="4" t="n"/>
      <c r="D185" s="5" t="n"/>
      <c r="E185" s="4" t="n"/>
      <c r="F185" s="4" t="n"/>
      <c r="G185" s="4" t="n"/>
      <c r="H185" s="4" t="n"/>
      <c r="I185" s="8" t="n"/>
      <c r="J185" s="4">
        <f>IF(AND(D185&lt;&gt;"",D185&lt;TODAY(),E185&lt;&gt;"Done",E185&lt;&gt;"Cancelled"),"OVERDUE","")</f>
        <v/>
      </c>
    </row>
    <row r="186">
      <c r="A186" s="4" t="n"/>
      <c r="B186" s="8" t="n"/>
      <c r="C186" s="4" t="n"/>
      <c r="D186" s="5" t="n"/>
      <c r="E186" s="4" t="n"/>
      <c r="F186" s="4" t="n"/>
      <c r="G186" s="4" t="n"/>
      <c r="H186" s="4" t="n"/>
      <c r="I186" s="8" t="n"/>
      <c r="J186" s="4">
        <f>IF(AND(D186&lt;&gt;"",D186&lt;TODAY(),E186&lt;&gt;"Done",E186&lt;&gt;"Cancelled"),"OVERDUE","")</f>
        <v/>
      </c>
    </row>
    <row r="187">
      <c r="A187" s="4" t="n"/>
      <c r="B187" s="8" t="n"/>
      <c r="C187" s="4" t="n"/>
      <c r="D187" s="5" t="n"/>
      <c r="E187" s="4" t="n"/>
      <c r="F187" s="4" t="n"/>
      <c r="G187" s="4" t="n"/>
      <c r="H187" s="4" t="n"/>
      <c r="I187" s="8" t="n"/>
      <c r="J187" s="4">
        <f>IF(AND(D187&lt;&gt;"",D187&lt;TODAY(),E187&lt;&gt;"Done",E187&lt;&gt;"Cancelled"),"OVERDUE","")</f>
        <v/>
      </c>
    </row>
    <row r="188">
      <c r="A188" s="4" t="n"/>
      <c r="B188" s="8" t="n"/>
      <c r="C188" s="4" t="n"/>
      <c r="D188" s="5" t="n"/>
      <c r="E188" s="4" t="n"/>
      <c r="F188" s="4" t="n"/>
      <c r="G188" s="4" t="n"/>
      <c r="H188" s="4" t="n"/>
      <c r="I188" s="8" t="n"/>
      <c r="J188" s="4">
        <f>IF(AND(D188&lt;&gt;"",D188&lt;TODAY(),E188&lt;&gt;"Done",E188&lt;&gt;"Cancelled"),"OVERDUE","")</f>
        <v/>
      </c>
    </row>
    <row r="189">
      <c r="A189" s="4" t="n"/>
      <c r="B189" s="8" t="n"/>
      <c r="C189" s="4" t="n"/>
      <c r="D189" s="5" t="n"/>
      <c r="E189" s="4" t="n"/>
      <c r="F189" s="4" t="n"/>
      <c r="G189" s="4" t="n"/>
      <c r="H189" s="4" t="n"/>
      <c r="I189" s="8" t="n"/>
      <c r="J189" s="4">
        <f>IF(AND(D189&lt;&gt;"",D189&lt;TODAY(),E189&lt;&gt;"Done",E189&lt;&gt;"Cancelled"),"OVERDUE","")</f>
        <v/>
      </c>
    </row>
    <row r="190">
      <c r="A190" s="4" t="n"/>
      <c r="B190" s="8" t="n"/>
      <c r="C190" s="4" t="n"/>
      <c r="D190" s="5" t="n"/>
      <c r="E190" s="4" t="n"/>
      <c r="F190" s="4" t="n"/>
      <c r="G190" s="4" t="n"/>
      <c r="H190" s="4" t="n"/>
      <c r="I190" s="8" t="n"/>
      <c r="J190" s="4">
        <f>IF(AND(D190&lt;&gt;"",D190&lt;TODAY(),E190&lt;&gt;"Done",E190&lt;&gt;"Cancelled"),"OVERDUE","")</f>
        <v/>
      </c>
    </row>
    <row r="191">
      <c r="A191" s="4" t="n"/>
      <c r="B191" s="8" t="n"/>
      <c r="C191" s="4" t="n"/>
      <c r="D191" s="5" t="n"/>
      <c r="E191" s="4" t="n"/>
      <c r="F191" s="4" t="n"/>
      <c r="G191" s="4" t="n"/>
      <c r="H191" s="4" t="n"/>
      <c r="I191" s="8" t="n"/>
      <c r="J191" s="4">
        <f>IF(AND(D191&lt;&gt;"",D191&lt;TODAY(),E191&lt;&gt;"Done",E191&lt;&gt;"Cancelled"),"OVERDUE","")</f>
        <v/>
      </c>
    </row>
    <row r="192">
      <c r="A192" s="4" t="n"/>
      <c r="B192" s="8" t="n"/>
      <c r="C192" s="4" t="n"/>
      <c r="D192" s="5" t="n"/>
      <c r="E192" s="4" t="n"/>
      <c r="F192" s="4" t="n"/>
      <c r="G192" s="4" t="n"/>
      <c r="H192" s="4" t="n"/>
      <c r="I192" s="8" t="n"/>
      <c r="J192" s="4">
        <f>IF(AND(D192&lt;&gt;"",D192&lt;TODAY(),E192&lt;&gt;"Done",E192&lt;&gt;"Cancelled"),"OVERDUE","")</f>
        <v/>
      </c>
    </row>
    <row r="193">
      <c r="A193" s="4" t="n"/>
      <c r="B193" s="8" t="n"/>
      <c r="C193" s="4" t="n"/>
      <c r="D193" s="5" t="n"/>
      <c r="E193" s="4" t="n"/>
      <c r="F193" s="4" t="n"/>
      <c r="G193" s="4" t="n"/>
      <c r="H193" s="4" t="n"/>
      <c r="I193" s="8" t="n"/>
      <c r="J193" s="4">
        <f>IF(AND(D193&lt;&gt;"",D193&lt;TODAY(),E193&lt;&gt;"Done",E193&lt;&gt;"Cancelled"),"OVERDUE","")</f>
        <v/>
      </c>
    </row>
    <row r="194">
      <c r="A194" s="4" t="n"/>
      <c r="B194" s="8" t="n"/>
      <c r="C194" s="4" t="n"/>
      <c r="D194" s="5" t="n"/>
      <c r="E194" s="4" t="n"/>
      <c r="F194" s="4" t="n"/>
      <c r="G194" s="4" t="n"/>
      <c r="H194" s="4" t="n"/>
      <c r="I194" s="8" t="n"/>
      <c r="J194" s="4">
        <f>IF(AND(D194&lt;&gt;"",D194&lt;TODAY(),E194&lt;&gt;"Done",E194&lt;&gt;"Cancelled"),"OVERDUE","")</f>
        <v/>
      </c>
    </row>
    <row r="195">
      <c r="A195" s="4" t="n"/>
      <c r="B195" s="8" t="n"/>
      <c r="C195" s="4" t="n"/>
      <c r="D195" s="5" t="n"/>
      <c r="E195" s="4" t="n"/>
      <c r="F195" s="4" t="n"/>
      <c r="G195" s="4" t="n"/>
      <c r="H195" s="4" t="n"/>
      <c r="I195" s="8" t="n"/>
      <c r="J195" s="4">
        <f>IF(AND(D195&lt;&gt;"",D195&lt;TODAY(),E195&lt;&gt;"Done",E195&lt;&gt;"Cancelled"),"OVERDUE","")</f>
        <v/>
      </c>
    </row>
    <row r="196">
      <c r="A196" s="4" t="n"/>
      <c r="B196" s="8" t="n"/>
      <c r="C196" s="4" t="n"/>
      <c r="D196" s="5" t="n"/>
      <c r="E196" s="4" t="n"/>
      <c r="F196" s="4" t="n"/>
      <c r="G196" s="4" t="n"/>
      <c r="H196" s="4" t="n"/>
      <c r="I196" s="8" t="n"/>
      <c r="J196" s="4">
        <f>IF(AND(D196&lt;&gt;"",D196&lt;TODAY(),E196&lt;&gt;"Done",E196&lt;&gt;"Cancelled"),"OVERDUE","")</f>
        <v/>
      </c>
    </row>
    <row r="197">
      <c r="A197" s="4" t="n"/>
      <c r="B197" s="8" t="n"/>
      <c r="C197" s="4" t="n"/>
      <c r="D197" s="5" t="n"/>
      <c r="E197" s="4" t="n"/>
      <c r="F197" s="4" t="n"/>
      <c r="G197" s="4" t="n"/>
      <c r="H197" s="4" t="n"/>
      <c r="I197" s="8" t="n"/>
      <c r="J197" s="4">
        <f>IF(AND(D197&lt;&gt;"",D197&lt;TODAY(),E197&lt;&gt;"Done",E197&lt;&gt;"Cancelled"),"OVERDUE","")</f>
        <v/>
      </c>
    </row>
    <row r="198">
      <c r="A198" s="4" t="n"/>
      <c r="B198" s="8" t="n"/>
      <c r="C198" s="4" t="n"/>
      <c r="D198" s="5" t="n"/>
      <c r="E198" s="4" t="n"/>
      <c r="F198" s="4" t="n"/>
      <c r="G198" s="4" t="n"/>
      <c r="H198" s="4" t="n"/>
      <c r="I198" s="8" t="n"/>
      <c r="J198" s="4">
        <f>IF(AND(D198&lt;&gt;"",D198&lt;TODAY(),E198&lt;&gt;"Done",E198&lt;&gt;"Cancelled"),"OVERDUE","")</f>
        <v/>
      </c>
    </row>
    <row r="199">
      <c r="A199" s="4" t="n"/>
      <c r="B199" s="8" t="n"/>
      <c r="C199" s="4" t="n"/>
      <c r="D199" s="5" t="n"/>
      <c r="E199" s="4" t="n"/>
      <c r="F199" s="4" t="n"/>
      <c r="G199" s="4" t="n"/>
      <c r="H199" s="4" t="n"/>
      <c r="I199" s="8" t="n"/>
      <c r="J199" s="4">
        <f>IF(AND(D199&lt;&gt;"",D199&lt;TODAY(),E199&lt;&gt;"Done",E199&lt;&gt;"Cancelled"),"OVERDUE","")</f>
        <v/>
      </c>
    </row>
    <row r="200">
      <c r="A200" s="4" t="n"/>
      <c r="B200" s="8" t="n"/>
      <c r="C200" s="4" t="n"/>
      <c r="D200" s="5" t="n"/>
      <c r="E200" s="4" t="n"/>
      <c r="F200" s="4" t="n"/>
      <c r="G200" s="4" t="n"/>
      <c r="H200" s="4" t="n"/>
      <c r="I200" s="8" t="n"/>
      <c r="J200" s="4">
        <f>IF(AND(D200&lt;&gt;"",D200&lt;TODAY(),E200&lt;&gt;"Done",E200&lt;&gt;"Cancelled"),"OVERDUE","")</f>
        <v/>
      </c>
    </row>
    <row r="201">
      <c r="A201" s="4" t="n"/>
      <c r="B201" s="8" t="n"/>
      <c r="C201" s="4" t="n"/>
      <c r="D201" s="5" t="n"/>
      <c r="E201" s="4" t="n"/>
      <c r="F201" s="4" t="n"/>
      <c r="G201" s="4" t="n"/>
      <c r="H201" s="4" t="n"/>
      <c r="I201" s="8" t="n"/>
      <c r="J201" s="4">
        <f>IF(AND(D201&lt;&gt;"",D201&lt;TODAY(),E201&lt;&gt;"Done",E201&lt;&gt;"Cancelled"),"OVERDUE","")</f>
        <v/>
      </c>
    </row>
    <row r="202">
      <c r="A202" s="4" t="n"/>
      <c r="B202" s="8" t="n"/>
      <c r="C202" s="4" t="n"/>
      <c r="D202" s="5" t="n"/>
      <c r="E202" s="4" t="n"/>
      <c r="F202" s="4" t="n"/>
      <c r="G202" s="4" t="n"/>
      <c r="H202" s="4" t="n"/>
      <c r="I202" s="8" t="n"/>
      <c r="J202" s="4">
        <f>IF(AND(D202&lt;&gt;"",D202&lt;TODAY(),E202&lt;&gt;"Done",E202&lt;&gt;"Cancelled"),"OVERDUE","")</f>
        <v/>
      </c>
    </row>
    <row r="203">
      <c r="A203" s="4" t="n"/>
      <c r="B203" s="8" t="n"/>
      <c r="C203" s="4" t="n"/>
      <c r="D203" s="5" t="n"/>
      <c r="E203" s="4" t="n"/>
      <c r="F203" s="4" t="n"/>
      <c r="G203" s="4" t="n"/>
      <c r="H203" s="4" t="n"/>
      <c r="I203" s="8" t="n"/>
      <c r="J203" s="4">
        <f>IF(AND(D203&lt;&gt;"",D203&lt;TODAY(),E203&lt;&gt;"Done",E203&lt;&gt;"Cancelled"),"OVERDUE","")</f>
        <v/>
      </c>
    </row>
    <row r="204">
      <c r="A204" s="4" t="n"/>
      <c r="B204" s="8" t="n"/>
      <c r="C204" s="4" t="n"/>
      <c r="D204" s="5" t="n"/>
      <c r="E204" s="4" t="n"/>
      <c r="F204" s="4" t="n"/>
      <c r="G204" s="4" t="n"/>
      <c r="H204" s="4" t="n"/>
      <c r="I204" s="8" t="n"/>
      <c r="J204" s="4">
        <f>IF(AND(D204&lt;&gt;"",D204&lt;TODAY(),E204&lt;&gt;"Done",E204&lt;&gt;"Cancelled"),"OVERDUE","")</f>
        <v/>
      </c>
    </row>
  </sheetData>
  <autoFilter ref="A4:J204"/>
  <conditionalFormatting sqref="A5:J204">
    <cfRule type="expression" priority="1" dxfId="0">
      <formula>$J5="OVERDUE"</formula>
    </cfRule>
    <cfRule type="expression" priority="2" dxfId="3">
      <formula>$E5="Done"</formula>
    </cfRule>
  </conditionalFormatting>
  <conditionalFormatting sqref="E5:E204">
    <cfRule type="expression" priority="3" dxfId="2">
      <formula>$E5="Blocked"</formula>
    </cfRule>
  </conditionalFormatting>
  <dataValidations count="3">
    <dataValidation sqref="C5:C204" showDropDown="0" showInputMessage="0" showErrorMessage="1" allowBlank="1" type="list">
      <formula1>=Lists!$A$2:$A$11</formula1>
    </dataValidation>
    <dataValidation sqref="E5:E204" showDropDown="0" showInputMessage="0" showErrorMessage="1" allowBlank="1" type="list">
      <formula1>=Lists!$B$2:$B$7</formula1>
    </dataValidation>
    <dataValidation sqref="F5:F204" showDropDown="0" showInputMessage="0" showErrorMessage="1" allowBlank="1" type="list">
      <formula1>=Lists!$C$2:$C$4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1" customWidth="1" min="3" max="3"/>
    <col width="11" customWidth="1" min="4" max="4"/>
    <col width="38" customWidth="1" min="5" max="5"/>
    <col width="10" customWidth="1" min="6" max="6"/>
    <col width="9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2" customWidth="1" min="15" max="15"/>
    <col width="14" customWidth="1" min="16" max="16"/>
    <col width="12" customWidth="1" min="17" max="17"/>
    <col width="12" customWidth="1" min="18" max="18"/>
    <col width="30" customWidth="1" min="19" max="19"/>
    <col width="10" customWidth="1" min="20" max="20"/>
    <col width="9" customWidth="1" min="21" max="21"/>
    <col width="9" customWidth="1" min="22" max="22"/>
    <col width="9" customWidth="1" min="23" max="23"/>
    <col width="13" customWidth="1" min="24" max="24"/>
    <col width="13" customWidth="1" min="25" max="25"/>
    <col width="40" customWidth="1" min="26" max="26"/>
  </cols>
  <sheetData>
    <row r="1">
      <c r="A1" s="1" t="inlineStr">
        <is>
          <t>Partner pipeline</t>
        </is>
      </c>
    </row>
    <row r="2">
      <c r="A2" s="2" t="inlineStr">
        <is>
          <t>One row per admin / influencer / müşavir. Type, Channel, Owner, Status, Disclosure are dropdowns. Follow-up dates fill themselves (+4/+9/+16 days); 'Next action' turns amber when a follow-up is due. Signups → Bounty paid: copy from /admin/partners, never estimate.</t>
        </is>
      </c>
    </row>
    <row r="4" ht="32" customHeight="1">
      <c r="A4" s="3" t="inlineStr">
        <is>
          <t>ID</t>
        </is>
      </c>
      <c r="B4" s="3" t="inlineStr">
        <is>
          <t>Name / group</t>
        </is>
      </c>
      <c r="C4" s="3" t="inlineStr">
        <is>
          <t>Type</t>
        </is>
      </c>
      <c r="D4" s="3" t="inlineStr">
        <is>
          <t>Channel</t>
        </is>
      </c>
      <c r="E4" s="3" t="inlineStr">
        <is>
          <t>Link</t>
        </is>
      </c>
      <c r="F4" s="3" t="inlineStr">
        <is>
          <t>Audience</t>
        </is>
      </c>
      <c r="G4" s="3" t="inlineStr">
        <is>
          <t>Score 0–10</t>
        </is>
      </c>
      <c r="H4" s="3" t="inlineStr">
        <is>
          <t>Owner</t>
        </is>
      </c>
      <c r="I4" s="3" t="inlineStr">
        <is>
          <t>Status</t>
        </is>
      </c>
      <c r="J4" s="3" t="inlineStr">
        <is>
          <t>Date contacted</t>
        </is>
      </c>
      <c r="K4" s="3" t="inlineStr">
        <is>
          <t>Follow-up 1</t>
        </is>
      </c>
      <c r="L4" s="3" t="inlineStr">
        <is>
          <t>Follow-up 2</t>
        </is>
      </c>
      <c r="M4" s="3" t="inlineStr">
        <is>
          <t>Follow-up 3</t>
        </is>
      </c>
      <c r="N4" s="3" t="inlineStr">
        <is>
          <t>Next action</t>
        </is>
      </c>
      <c r="O4" s="3" t="inlineStr">
        <is>
          <t>Date signed</t>
        </is>
      </c>
      <c r="P4" s="3" t="inlineStr">
        <is>
          <t>Ref code</t>
        </is>
      </c>
      <c r="Q4" s="3" t="inlineStr">
        <is>
          <t>Promo code</t>
        </is>
      </c>
      <c r="R4" s="3" t="inlineStr">
        <is>
          <t>First post date</t>
        </is>
      </c>
      <c r="S4" s="3" t="inlineStr">
        <is>
          <t>Post link</t>
        </is>
      </c>
      <c r="T4" s="3" t="inlineStr">
        <is>
          <t>Disclosure OK</t>
        </is>
      </c>
      <c r="U4" s="3" t="inlineStr">
        <is>
          <t>Signups</t>
        </is>
      </c>
      <c r="V4" s="3" t="inlineStr">
        <is>
          <t>Activated</t>
        </is>
      </c>
      <c r="W4" s="3" t="inlineStr">
        <is>
          <t>Paying</t>
        </is>
      </c>
      <c r="X4" s="3" t="inlineStr">
        <is>
          <t>Bounty pending ₺</t>
        </is>
      </c>
      <c r="Y4" s="3" t="inlineStr">
        <is>
          <t>Bounty paid ₺</t>
        </is>
      </c>
      <c r="Z4" s="3" t="inlineStr">
        <is>
          <t>Notes</t>
        </is>
      </c>
    </row>
    <row r="5">
      <c r="A5" s="4" t="inlineStr">
        <is>
          <t>P001</t>
        </is>
      </c>
      <c r="B5" s="8" t="inlineStr">
        <is>
          <t>Etsy ile Gelir</t>
        </is>
      </c>
      <c r="C5" s="4" t="inlineStr">
        <is>
          <t>tg_admin</t>
        </is>
      </c>
      <c r="D5" s="4" t="inlineStr">
        <is>
          <t>Telegram</t>
        </is>
      </c>
      <c r="E5" s="4" t="inlineStr">
        <is>
          <t>https://t.me/etsyilegelir</t>
        </is>
      </c>
      <c r="F5" s="12" t="n">
        <v>13102</v>
      </c>
      <c r="G5" s="4" t="n"/>
      <c r="H5" s="4" t="inlineStr">
        <is>
          <t>Merisa</t>
        </is>
      </c>
      <c r="I5" s="4" t="inlineStr">
        <is>
          <t>Shortlisted</t>
        </is>
      </c>
      <c r="J5" s="5" t="n"/>
      <c r="K5" s="5">
        <f>IF(J5="","",J5+4)</f>
        <v/>
      </c>
      <c r="L5" s="5">
        <f>IF(J5="","",J5+9)</f>
        <v/>
      </c>
      <c r="M5" s="5">
        <f>IF(J5="","",J5+16)</f>
        <v/>
      </c>
      <c r="N5" s="4">
        <f>IF(OR(I5="Contacted",I5="Terms sent"),IF(TODAY()&gt;=M5,"Close (step 3)",IF(TODAY()&gt;=L5,"Follow-up 2",IF(TODAY()&gt;=K5,"Follow-up 1",""))),IF(I5="Shortlisted",IF(G5="","Score it",""),""))</f>
        <v/>
      </c>
      <c r="O5" s="5" t="n"/>
      <c r="P5" s="4" t="n"/>
      <c r="Q5" s="4" t="n"/>
      <c r="R5" s="5" t="n"/>
      <c r="S5" s="4" t="n"/>
      <c r="T5" s="4" t="n"/>
      <c r="U5" s="13" t="n"/>
      <c r="V5" s="13" t="n"/>
      <c r="W5" s="13" t="n"/>
      <c r="X5" s="14" t="n"/>
      <c r="Y5" s="14" t="n"/>
      <c r="Z5" s="8" t="inlineStr">
        <is>
          <t>From docs/gtm/social/communities.csv (verified 2026-10-17). Score before contacting.</t>
        </is>
      </c>
    </row>
    <row r="6">
      <c r="A6" s="4" t="inlineStr">
        <is>
          <t>P002</t>
        </is>
      </c>
      <c r="B6" s="8" t="inlineStr">
        <is>
          <t>Etsy Türkiye Grubu</t>
        </is>
      </c>
      <c r="C6" s="4" t="inlineStr">
        <is>
          <t>tg_admin</t>
        </is>
      </c>
      <c r="D6" s="4" t="inlineStr">
        <is>
          <t>Telegram</t>
        </is>
      </c>
      <c r="E6" s="4" t="inlineStr">
        <is>
          <t>https://t.me/etsyturkiyegrubu</t>
        </is>
      </c>
      <c r="F6" s="12" t="n">
        <v>2826</v>
      </c>
      <c r="G6" s="4" t="n"/>
      <c r="H6" s="4" t="inlineStr">
        <is>
          <t>Merisa</t>
        </is>
      </c>
      <c r="I6" s="4" t="inlineStr">
        <is>
          <t>Shortlisted</t>
        </is>
      </c>
      <c r="J6" s="5" t="n"/>
      <c r="K6" s="5">
        <f>IF(J6="","",J6+4)</f>
        <v/>
      </c>
      <c r="L6" s="5">
        <f>IF(J6="","",J6+9)</f>
        <v/>
      </c>
      <c r="M6" s="5">
        <f>IF(J6="","",J6+16)</f>
        <v/>
      </c>
      <c r="N6" s="4">
        <f>IF(OR(I6="Contacted",I6="Terms sent"),IF(TODAY()&gt;=M6,"Close (step 3)",IF(TODAY()&gt;=L6,"Follow-up 2",IF(TODAY()&gt;=K6,"Follow-up 1",""))),IF(I6="Shortlisted",IF(G6="","Score it",""),""))</f>
        <v/>
      </c>
      <c r="O6" s="5" t="n"/>
      <c r="P6" s="4" t="n"/>
      <c r="Q6" s="4" t="n"/>
      <c r="R6" s="5" t="n"/>
      <c r="S6" s="4" t="n"/>
      <c r="T6" s="4" t="n"/>
      <c r="U6" s="13" t="n"/>
      <c r="V6" s="13" t="n"/>
      <c r="W6" s="13" t="n"/>
      <c r="X6" s="14" t="n"/>
      <c r="Y6" s="14" t="n"/>
      <c r="Z6" s="8" t="inlineStr">
        <is>
          <t>From docs/gtm/social/communities.csv (verified 2026-10-17). Score before contacting.</t>
        </is>
      </c>
    </row>
    <row r="7">
      <c r="A7" s="4" t="inlineStr">
        <is>
          <t>P003</t>
        </is>
      </c>
      <c r="B7" s="8" t="inlineStr">
        <is>
          <t>Etsy Türkiye Yardımlaşma Grubu</t>
        </is>
      </c>
      <c r="C7" s="4" t="inlineStr">
        <is>
          <t>tg_admin</t>
        </is>
      </c>
      <c r="D7" s="4" t="inlineStr">
        <is>
          <t>Telegram</t>
        </is>
      </c>
      <c r="E7" s="4" t="inlineStr">
        <is>
          <t>https://t.me/etsytr</t>
        </is>
      </c>
      <c r="F7" s="12" t="n">
        <v>1735</v>
      </c>
      <c r="G7" s="4" t="n"/>
      <c r="H7" s="4" t="inlineStr">
        <is>
          <t>Merisa</t>
        </is>
      </c>
      <c r="I7" s="4" t="inlineStr">
        <is>
          <t>Shortlisted</t>
        </is>
      </c>
      <c r="J7" s="5" t="n"/>
      <c r="K7" s="5">
        <f>IF(J7="","",J7+4)</f>
        <v/>
      </c>
      <c r="L7" s="5">
        <f>IF(J7="","",J7+9)</f>
        <v/>
      </c>
      <c r="M7" s="5">
        <f>IF(J7="","",J7+16)</f>
        <v/>
      </c>
      <c r="N7" s="4">
        <f>IF(OR(I7="Contacted",I7="Terms sent"),IF(TODAY()&gt;=M7,"Close (step 3)",IF(TODAY()&gt;=L7,"Follow-up 2",IF(TODAY()&gt;=K7,"Follow-up 1",""))),IF(I7="Shortlisted",IF(G7="","Score it",""),""))</f>
        <v/>
      </c>
      <c r="O7" s="5" t="n"/>
      <c r="P7" s="4" t="n"/>
      <c r="Q7" s="4" t="n"/>
      <c r="R7" s="5" t="n"/>
      <c r="S7" s="4" t="n"/>
      <c r="T7" s="4" t="n"/>
      <c r="U7" s="13" t="n"/>
      <c r="V7" s="13" t="n"/>
      <c r="W7" s="13" t="n"/>
      <c r="X7" s="14" t="n"/>
      <c r="Y7" s="14" t="n"/>
      <c r="Z7" s="8" t="inlineStr">
        <is>
          <t>From docs/gtm/social/communities.csv (verified 2026-10-17). Score before contacting.</t>
        </is>
      </c>
    </row>
    <row r="8">
      <c r="A8" s="4" t="inlineStr">
        <is>
          <t>P004</t>
        </is>
      </c>
      <c r="B8" s="8" t="inlineStr">
        <is>
          <t>Ebay dropshipping TÜRKİYE</t>
        </is>
      </c>
      <c r="C8" s="4" t="inlineStr">
        <is>
          <t>tg_admin</t>
        </is>
      </c>
      <c r="D8" s="4" t="inlineStr">
        <is>
          <t>Telegram</t>
        </is>
      </c>
      <c r="E8" s="4" t="inlineStr">
        <is>
          <t>https://t.me/ebaydropshippingturkey</t>
        </is>
      </c>
      <c r="F8" s="12" t="n">
        <v>2352</v>
      </c>
      <c r="G8" s="4" t="n"/>
      <c r="H8" s="4" t="inlineStr">
        <is>
          <t>Merisa</t>
        </is>
      </c>
      <c r="I8" s="4" t="inlineStr">
        <is>
          <t>Shortlisted</t>
        </is>
      </c>
      <c r="J8" s="5" t="n"/>
      <c r="K8" s="5">
        <f>IF(J8="","",J8+4)</f>
        <v/>
      </c>
      <c r="L8" s="5">
        <f>IF(J8="","",J8+9)</f>
        <v/>
      </c>
      <c r="M8" s="5">
        <f>IF(J8="","",J8+16)</f>
        <v/>
      </c>
      <c r="N8" s="4">
        <f>IF(OR(I8="Contacted",I8="Terms sent"),IF(TODAY()&gt;=M8,"Close (step 3)",IF(TODAY()&gt;=L8,"Follow-up 2",IF(TODAY()&gt;=K8,"Follow-up 1",""))),IF(I8="Shortlisted",IF(G8="","Score it",""),""))</f>
        <v/>
      </c>
      <c r="O8" s="5" t="n"/>
      <c r="P8" s="4" t="n"/>
      <c r="Q8" s="4" t="n"/>
      <c r="R8" s="5" t="n"/>
      <c r="S8" s="4" t="n"/>
      <c r="T8" s="4" t="n"/>
      <c r="U8" s="13" t="n"/>
      <c r="V8" s="13" t="n"/>
      <c r="W8" s="13" t="n"/>
      <c r="X8" s="14" t="n"/>
      <c r="Y8" s="14" t="n"/>
      <c r="Z8" s="8" t="inlineStr">
        <is>
          <t>From docs/gtm/social/communities.csv (verified 2026-10-17). Score before contacting.</t>
        </is>
      </c>
    </row>
    <row r="9">
      <c r="A9" s="4" t="inlineStr">
        <is>
          <t>P005</t>
        </is>
      </c>
      <c r="B9" s="8" t="inlineStr">
        <is>
          <t>Amazon &amp; eBay Yardımlaşma Grubu</t>
        </is>
      </c>
      <c r="C9" s="4" t="inlineStr">
        <is>
          <t>tg_admin</t>
        </is>
      </c>
      <c r="D9" s="4" t="inlineStr">
        <is>
          <t>Telegram</t>
        </is>
      </c>
      <c r="E9" s="4" t="inlineStr">
        <is>
          <t>https://t.me/eBayveamazon</t>
        </is>
      </c>
      <c r="F9" s="12" t="n">
        <v>579</v>
      </c>
      <c r="G9" s="4" t="n"/>
      <c r="H9" s="4" t="inlineStr">
        <is>
          <t>Merisa</t>
        </is>
      </c>
      <c r="I9" s="4" t="inlineStr">
        <is>
          <t>Shortlisted</t>
        </is>
      </c>
      <c r="J9" s="5" t="n"/>
      <c r="K9" s="5">
        <f>IF(J9="","",J9+4)</f>
        <v/>
      </c>
      <c r="L9" s="5">
        <f>IF(J9="","",J9+9)</f>
        <v/>
      </c>
      <c r="M9" s="5">
        <f>IF(J9="","",J9+16)</f>
        <v/>
      </c>
      <c r="N9" s="4">
        <f>IF(OR(I9="Contacted",I9="Terms sent"),IF(TODAY()&gt;=M9,"Close (step 3)",IF(TODAY()&gt;=L9,"Follow-up 2",IF(TODAY()&gt;=K9,"Follow-up 1",""))),IF(I9="Shortlisted",IF(G9="","Score it",""),""))</f>
        <v/>
      </c>
      <c r="O9" s="5" t="n"/>
      <c r="P9" s="4" t="n"/>
      <c r="Q9" s="4" t="n"/>
      <c r="R9" s="5" t="n"/>
      <c r="S9" s="4" t="n"/>
      <c r="T9" s="4" t="n"/>
      <c r="U9" s="13" t="n"/>
      <c r="V9" s="13" t="n"/>
      <c r="W9" s="13" t="n"/>
      <c r="X9" s="14" t="n"/>
      <c r="Y9" s="14" t="n"/>
      <c r="Z9" s="8" t="inlineStr">
        <is>
          <t>From docs/gtm/social/communities.csv (verified 2026-10-17). Score before contacting.</t>
        </is>
      </c>
    </row>
    <row r="10">
      <c r="A10" s="4" t="inlineStr">
        <is>
          <t>P006</t>
        </is>
      </c>
      <c r="B10" s="8" t="inlineStr">
        <is>
          <t>Etsy Türk Satıcıları (Etsy Community forumu)</t>
        </is>
      </c>
      <c r="C10" s="4" t="inlineStr">
        <is>
          <t>other</t>
        </is>
      </c>
      <c r="D10" s="4" t="inlineStr">
        <is>
          <t>Forum</t>
        </is>
      </c>
      <c r="E10" s="4" t="inlineStr">
        <is>
          <t>https://community.etsy.com/forum/etsy-t%C3%BCrk-sat%C4%B1c%C4%B1lar%C4%B1-95/</t>
        </is>
      </c>
      <c r="F10" s="12" t="n"/>
      <c r="G10" s="4" t="n"/>
      <c r="H10" s="4" t="inlineStr">
        <is>
          <t>Merisa</t>
        </is>
      </c>
      <c r="I10" s="4" t="inlineStr">
        <is>
          <t>Shortlisted</t>
        </is>
      </c>
      <c r="J10" s="5" t="n"/>
      <c r="K10" s="5">
        <f>IF(J10="","",J10+4)</f>
        <v/>
      </c>
      <c r="L10" s="5">
        <f>IF(J10="","",J10+9)</f>
        <v/>
      </c>
      <c r="M10" s="5">
        <f>IF(J10="","",J10+16)</f>
        <v/>
      </c>
      <c r="N10" s="4">
        <f>IF(OR(I10="Contacted",I10="Terms sent"),IF(TODAY()&gt;=M10,"Close (step 3)",IF(TODAY()&gt;=L10,"Follow-up 2",IF(TODAY()&gt;=K10,"Follow-up 1",""))),IF(I10="Shortlisted",IF(G10="","Score it",""),""))</f>
        <v/>
      </c>
      <c r="O10" s="5" t="n"/>
      <c r="P10" s="4" t="n"/>
      <c r="Q10" s="4" t="n"/>
      <c r="R10" s="5" t="n"/>
      <c r="S10" s="4" t="n"/>
      <c r="T10" s="4" t="n"/>
      <c r="U10" s="13" t="n"/>
      <c r="V10" s="13" t="n"/>
      <c r="W10" s="13" t="n"/>
      <c r="X10" s="14" t="n"/>
      <c r="Y10" s="14" t="n"/>
      <c r="Z10" s="8" t="inlineStr">
        <is>
          <t>From docs/gtm/social/communities.csv (verified 2026-10-17). Score before contacting.</t>
        </is>
      </c>
    </row>
    <row r="11">
      <c r="A11" s="4" t="inlineStr">
        <is>
          <t>P007</t>
        </is>
      </c>
      <c r="B11" s="8" t="inlineStr">
        <is>
          <t>Etsy Türkiye Dijital ve POD</t>
        </is>
      </c>
      <c r="C11" s="4" t="inlineStr">
        <is>
          <t>other</t>
        </is>
      </c>
      <c r="D11" s="4" t="inlineStr">
        <is>
          <t>Forum</t>
        </is>
      </c>
      <c r="E11" s="4" t="inlineStr">
        <is>
          <t>https://community.etsy.com/etsy-turkiye-dijital-ve-pod/</t>
        </is>
      </c>
      <c r="F11" s="12" t="n">
        <v>80</v>
      </c>
      <c r="G11" s="4" t="n"/>
      <c r="H11" s="4" t="inlineStr">
        <is>
          <t>Merisa</t>
        </is>
      </c>
      <c r="I11" s="4" t="inlineStr">
        <is>
          <t>Shortlisted</t>
        </is>
      </c>
      <c r="J11" s="5" t="n"/>
      <c r="K11" s="5">
        <f>IF(J11="","",J11+4)</f>
        <v/>
      </c>
      <c r="L11" s="5">
        <f>IF(J11="","",J11+9)</f>
        <v/>
      </c>
      <c r="M11" s="5">
        <f>IF(J11="","",J11+16)</f>
        <v/>
      </c>
      <c r="N11" s="4">
        <f>IF(OR(I11="Contacted",I11="Terms sent"),IF(TODAY()&gt;=M11,"Close (step 3)",IF(TODAY()&gt;=L11,"Follow-up 2",IF(TODAY()&gt;=K11,"Follow-up 1",""))),IF(I11="Shortlisted",IF(G11="","Score it",""),""))</f>
        <v/>
      </c>
      <c r="O11" s="5" t="n"/>
      <c r="P11" s="4" t="n"/>
      <c r="Q11" s="4" t="n"/>
      <c r="R11" s="5" t="n"/>
      <c r="S11" s="4" t="n"/>
      <c r="T11" s="4" t="n"/>
      <c r="U11" s="13" t="n"/>
      <c r="V11" s="13" t="n"/>
      <c r="W11" s="13" t="n"/>
      <c r="X11" s="14" t="n"/>
      <c r="Y11" s="14" t="n"/>
      <c r="Z11" s="8" t="inlineStr">
        <is>
          <t>From docs/gtm/social/communities.csv (verified 2026-10-17). Score before contacting.</t>
        </is>
      </c>
    </row>
    <row r="12">
      <c r="A12" s="4" t="inlineStr">
        <is>
          <t>P008</t>
        </is>
      </c>
      <c r="B12" s="8" t="inlineStr">
        <is>
          <t>ETSY TÜRKİYE SATIŞ TEKNİKLERİ</t>
        </is>
      </c>
      <c r="C12" s="4" t="inlineStr">
        <is>
          <t>fb_admin</t>
        </is>
      </c>
      <c r="D12" s="4" t="inlineStr">
        <is>
          <t>Facebook</t>
        </is>
      </c>
      <c r="E12" s="4" t="inlineStr">
        <is>
          <t>https://www.facebook.com/groups/438314136353104/</t>
        </is>
      </c>
      <c r="F12" s="12" t="n"/>
      <c r="G12" s="4" t="n"/>
      <c r="H12" s="4" t="inlineStr">
        <is>
          <t>Merisa</t>
        </is>
      </c>
      <c r="I12" s="4" t="inlineStr">
        <is>
          <t>Shortlisted</t>
        </is>
      </c>
      <c r="J12" s="5" t="n"/>
      <c r="K12" s="5">
        <f>IF(J12="","",J12+4)</f>
        <v/>
      </c>
      <c r="L12" s="5">
        <f>IF(J12="","",J12+9)</f>
        <v/>
      </c>
      <c r="M12" s="5">
        <f>IF(J12="","",J12+16)</f>
        <v/>
      </c>
      <c r="N12" s="4">
        <f>IF(OR(I12="Contacted",I12="Terms sent"),IF(TODAY()&gt;=M12,"Close (step 3)",IF(TODAY()&gt;=L12,"Follow-up 2",IF(TODAY()&gt;=K12,"Follow-up 1",""))),IF(I12="Shortlisted",IF(G12="","Score it",""),""))</f>
        <v/>
      </c>
      <c r="O12" s="5" t="n"/>
      <c r="P12" s="4" t="n"/>
      <c r="Q12" s="4" t="n"/>
      <c r="R12" s="5" t="n"/>
      <c r="S12" s="4" t="n"/>
      <c r="T12" s="4" t="n"/>
      <c r="U12" s="13" t="n"/>
      <c r="V12" s="13" t="n"/>
      <c r="W12" s="13" t="n"/>
      <c r="X12" s="14" t="n"/>
      <c r="Y12" s="14" t="n"/>
      <c r="Z12" s="8" t="inlineStr">
        <is>
          <t>From docs/gtm/social/communities.csv (verified 2026-10-17). Score before contacting.</t>
        </is>
      </c>
    </row>
    <row r="13">
      <c r="A13" s="4" t="inlineStr">
        <is>
          <t>P009</t>
        </is>
      </c>
      <c r="B13" s="8" t="inlineStr">
        <is>
          <t>etsytr (Facebook)</t>
        </is>
      </c>
      <c r="C13" s="4" t="inlineStr">
        <is>
          <t>fb_admin</t>
        </is>
      </c>
      <c r="D13" s="4" t="inlineStr">
        <is>
          <t>Facebook</t>
        </is>
      </c>
      <c r="E13" s="4" t="inlineStr">
        <is>
          <t>https://facebook.com/etsytr</t>
        </is>
      </c>
      <c r="F13" s="12" t="n"/>
      <c r="G13" s="4" t="n"/>
      <c r="H13" s="4" t="inlineStr">
        <is>
          <t>Merisa</t>
        </is>
      </c>
      <c r="I13" s="4" t="inlineStr">
        <is>
          <t>Shortlisted</t>
        </is>
      </c>
      <c r="J13" s="5" t="n"/>
      <c r="K13" s="5">
        <f>IF(J13="","",J13+4)</f>
        <v/>
      </c>
      <c r="L13" s="5">
        <f>IF(J13="","",J13+9)</f>
        <v/>
      </c>
      <c r="M13" s="5">
        <f>IF(J13="","",J13+16)</f>
        <v/>
      </c>
      <c r="N13" s="4">
        <f>IF(OR(I13="Contacted",I13="Terms sent"),IF(TODAY()&gt;=M13,"Close (step 3)",IF(TODAY()&gt;=L13,"Follow-up 2",IF(TODAY()&gt;=K13,"Follow-up 1",""))),IF(I13="Shortlisted",IF(G13="","Score it",""),""))</f>
        <v/>
      </c>
      <c r="O13" s="5" t="n"/>
      <c r="P13" s="4" t="n"/>
      <c r="Q13" s="4" t="n"/>
      <c r="R13" s="5" t="n"/>
      <c r="S13" s="4" t="n"/>
      <c r="T13" s="4" t="n"/>
      <c r="U13" s="13" t="n"/>
      <c r="V13" s="13" t="n"/>
      <c r="W13" s="13" t="n"/>
      <c r="X13" s="14" t="n"/>
      <c r="Y13" s="14" t="n"/>
      <c r="Z13" s="8" t="inlineStr">
        <is>
          <t>From docs/gtm/social/communities.csv (verified 2026-10-17). Score before contacting.</t>
        </is>
      </c>
    </row>
    <row r="14">
      <c r="A14" s="4" t="inlineStr">
        <is>
          <t>P010</t>
        </is>
      </c>
      <c r="B14" s="8" t="inlineStr">
        <is>
          <t>Mehmet TEK</t>
        </is>
      </c>
      <c r="C14" s="4" t="inlineStr">
        <is>
          <t>youtube</t>
        </is>
      </c>
      <c r="D14" s="4" t="inlineStr">
        <is>
          <t>YouTube</t>
        </is>
      </c>
      <c r="E14" s="4" t="inlineStr">
        <is>
          <t>https://www.youtube.com/@mehmettek</t>
        </is>
      </c>
      <c r="F14" s="12" t="n">
        <v>200000</v>
      </c>
      <c r="G14" s="4" t="n"/>
      <c r="H14" s="4" t="inlineStr">
        <is>
          <t>Ekin</t>
        </is>
      </c>
      <c r="I14" s="4" t="inlineStr">
        <is>
          <t>Shortlisted</t>
        </is>
      </c>
      <c r="J14" s="5" t="n"/>
      <c r="K14" s="5">
        <f>IF(J14="","",J14+4)</f>
        <v/>
      </c>
      <c r="L14" s="5">
        <f>IF(J14="","",J14+9)</f>
        <v/>
      </c>
      <c r="M14" s="5">
        <f>IF(J14="","",J14+16)</f>
        <v/>
      </c>
      <c r="N14" s="4">
        <f>IF(OR(I14="Contacted",I14="Terms sent"),IF(TODAY()&gt;=M14,"Close (step 3)",IF(TODAY()&gt;=L14,"Follow-up 2",IF(TODAY()&gt;=K14,"Follow-up 1",""))),IF(I14="Shortlisted",IF(G14="","Score it",""),""))</f>
        <v/>
      </c>
      <c r="O14" s="5" t="n"/>
      <c r="P14" s="4" t="n"/>
      <c r="Q14" s="4" t="n"/>
      <c r="R14" s="5" t="n"/>
      <c r="S14" s="4" t="n"/>
      <c r="T14" s="4" t="n"/>
      <c r="U14" s="13" t="n"/>
      <c r="V14" s="13" t="n"/>
      <c r="W14" s="13" t="n"/>
      <c r="X14" s="14" t="n"/>
      <c r="Y14" s="14" t="n"/>
      <c r="Z14" s="8" t="inlineStr">
        <is>
          <t>From docs/gtm/social/communities.csv (verified 2026-10-17). Score before contacting.</t>
        </is>
      </c>
    </row>
    <row r="15">
      <c r="A15" s="4" t="inlineStr">
        <is>
          <t>P011</t>
        </is>
      </c>
      <c r="B15" s="8" t="inlineStr">
        <is>
          <t>Tuger Akkaya</t>
        </is>
      </c>
      <c r="C15" s="4" t="inlineStr">
        <is>
          <t>youtube</t>
        </is>
      </c>
      <c r="D15" s="4" t="inlineStr">
        <is>
          <t>YouTube</t>
        </is>
      </c>
      <c r="E15" s="4" t="inlineStr">
        <is>
          <t>https://www.youtube.com/@TugerAkkaya</t>
        </is>
      </c>
      <c r="F15" s="12" t="n">
        <v>662000</v>
      </c>
      <c r="G15" s="4" t="n"/>
      <c r="H15" s="4" t="inlineStr">
        <is>
          <t>Ekin</t>
        </is>
      </c>
      <c r="I15" s="4" t="inlineStr">
        <is>
          <t>Shortlisted</t>
        </is>
      </c>
      <c r="J15" s="5" t="n"/>
      <c r="K15" s="5">
        <f>IF(J15="","",J15+4)</f>
        <v/>
      </c>
      <c r="L15" s="5">
        <f>IF(J15="","",J15+9)</f>
        <v/>
      </c>
      <c r="M15" s="5">
        <f>IF(J15="","",J15+16)</f>
        <v/>
      </c>
      <c r="N15" s="4">
        <f>IF(OR(I15="Contacted",I15="Terms sent"),IF(TODAY()&gt;=M15,"Close (step 3)",IF(TODAY()&gt;=L15,"Follow-up 2",IF(TODAY()&gt;=K15,"Follow-up 1",""))),IF(I15="Shortlisted",IF(G15="","Score it",""),""))</f>
        <v/>
      </c>
      <c r="O15" s="5" t="n"/>
      <c r="P15" s="4" t="n"/>
      <c r="Q15" s="4" t="n"/>
      <c r="R15" s="5" t="n"/>
      <c r="S15" s="4" t="n"/>
      <c r="T15" s="4" t="n"/>
      <c r="U15" s="13" t="n"/>
      <c r="V15" s="13" t="n"/>
      <c r="W15" s="13" t="n"/>
      <c r="X15" s="14" t="n"/>
      <c r="Y15" s="14" t="n"/>
      <c r="Z15" s="8" t="inlineStr">
        <is>
          <t>From docs/gtm/social/communities.csv (verified 2026-10-17). Score before contacting.</t>
        </is>
      </c>
    </row>
    <row r="16">
      <c r="A16" s="4" t="inlineStr">
        <is>
          <t>P012</t>
        </is>
      </c>
      <c r="B16" s="8" t="inlineStr">
        <is>
          <t>Canberk Ozturk</t>
        </is>
      </c>
      <c r="C16" s="4" t="inlineStr">
        <is>
          <t>youtube</t>
        </is>
      </c>
      <c r="D16" s="4" t="inlineStr">
        <is>
          <t>YouTube</t>
        </is>
      </c>
      <c r="E16" s="4" t="inlineStr">
        <is>
          <t>https://www.youtube.com/@canberkozturkk</t>
        </is>
      </c>
      <c r="F16" s="12" t="n">
        <v>109000</v>
      </c>
      <c r="G16" s="4" t="n"/>
      <c r="H16" s="4" t="inlineStr">
        <is>
          <t>Ekin</t>
        </is>
      </c>
      <c r="I16" s="4" t="inlineStr">
        <is>
          <t>Shortlisted</t>
        </is>
      </c>
      <c r="J16" s="5" t="n"/>
      <c r="K16" s="5">
        <f>IF(J16="","",J16+4)</f>
        <v/>
      </c>
      <c r="L16" s="5">
        <f>IF(J16="","",J16+9)</f>
        <v/>
      </c>
      <c r="M16" s="5">
        <f>IF(J16="","",J16+16)</f>
        <v/>
      </c>
      <c r="N16" s="4">
        <f>IF(OR(I16="Contacted",I16="Terms sent"),IF(TODAY()&gt;=M16,"Close (step 3)",IF(TODAY()&gt;=L16,"Follow-up 2",IF(TODAY()&gt;=K16,"Follow-up 1",""))),IF(I16="Shortlisted",IF(G16="","Score it",""),""))</f>
        <v/>
      </c>
      <c r="O16" s="5" t="n"/>
      <c r="P16" s="4" t="n"/>
      <c r="Q16" s="4" t="n"/>
      <c r="R16" s="5" t="n"/>
      <c r="S16" s="4" t="n"/>
      <c r="T16" s="4" t="n"/>
      <c r="U16" s="13" t="n"/>
      <c r="V16" s="13" t="n"/>
      <c r="W16" s="13" t="n"/>
      <c r="X16" s="14" t="n"/>
      <c r="Y16" s="14" t="n"/>
      <c r="Z16" s="8" t="inlineStr">
        <is>
          <t>From docs/gtm/social/communities.csv (verified 2026-10-17). Score before contacting.</t>
        </is>
      </c>
    </row>
    <row r="17">
      <c r="A17" s="4" t="inlineStr">
        <is>
          <t>P013</t>
        </is>
      </c>
      <c r="B17" s="8" t="inlineStr">
        <is>
          <t>Hacı Mehmet KAYA</t>
        </is>
      </c>
      <c r="C17" s="4" t="inlineStr">
        <is>
          <t>youtube</t>
        </is>
      </c>
      <c r="D17" s="4" t="inlineStr">
        <is>
          <t>YouTube</t>
        </is>
      </c>
      <c r="E17" s="4" t="inlineStr">
        <is>
          <t>https://www.youtube.com/@HaciMehmetKAYA</t>
        </is>
      </c>
      <c r="F17" s="12" t="n">
        <v>35800</v>
      </c>
      <c r="G17" s="4" t="n"/>
      <c r="H17" s="4" t="inlineStr">
        <is>
          <t>Ekin</t>
        </is>
      </c>
      <c r="I17" s="4" t="inlineStr">
        <is>
          <t>Shortlisted</t>
        </is>
      </c>
      <c r="J17" s="5" t="n"/>
      <c r="K17" s="5">
        <f>IF(J17="","",J17+4)</f>
        <v/>
      </c>
      <c r="L17" s="5">
        <f>IF(J17="","",J17+9)</f>
        <v/>
      </c>
      <c r="M17" s="5">
        <f>IF(J17="","",J17+16)</f>
        <v/>
      </c>
      <c r="N17" s="4">
        <f>IF(OR(I17="Contacted",I17="Terms sent"),IF(TODAY()&gt;=M17,"Close (step 3)",IF(TODAY()&gt;=L17,"Follow-up 2",IF(TODAY()&gt;=K17,"Follow-up 1",""))),IF(I17="Shortlisted",IF(G17="","Score it",""),""))</f>
        <v/>
      </c>
      <c r="O17" s="5" t="n"/>
      <c r="P17" s="4" t="n"/>
      <c r="Q17" s="4" t="n"/>
      <c r="R17" s="5" t="n"/>
      <c r="S17" s="4" t="n"/>
      <c r="T17" s="4" t="n"/>
      <c r="U17" s="13" t="n"/>
      <c r="V17" s="13" t="n"/>
      <c r="W17" s="13" t="n"/>
      <c r="X17" s="14" t="n"/>
      <c r="Y17" s="14" t="n"/>
      <c r="Z17" s="8" t="inlineStr">
        <is>
          <t>From docs/gtm/social/communities.csv (verified 2026-10-17). Score before contacting.</t>
        </is>
      </c>
    </row>
    <row r="18">
      <c r="A18" s="4" t="inlineStr">
        <is>
          <t>P014</t>
        </is>
      </c>
      <c r="B18" s="8" t="inlineStr">
        <is>
          <t>Muhammet USTA</t>
        </is>
      </c>
      <c r="C18" s="4" t="inlineStr">
        <is>
          <t>youtube</t>
        </is>
      </c>
      <c r="D18" s="4" t="inlineStr">
        <is>
          <t>YouTube</t>
        </is>
      </c>
      <c r="E18" s="4" t="inlineStr">
        <is>
          <t>https://www.youtube.com/@MuhammetUSTA</t>
        </is>
      </c>
      <c r="F18" s="12" t="n">
        <v>26300</v>
      </c>
      <c r="G18" s="4" t="n"/>
      <c r="H18" s="4" t="inlineStr">
        <is>
          <t>Ekin</t>
        </is>
      </c>
      <c r="I18" s="4" t="inlineStr">
        <is>
          <t>Shortlisted</t>
        </is>
      </c>
      <c r="J18" s="5" t="n"/>
      <c r="K18" s="5">
        <f>IF(J18="","",J18+4)</f>
        <v/>
      </c>
      <c r="L18" s="5">
        <f>IF(J18="","",J18+9)</f>
        <v/>
      </c>
      <c r="M18" s="5">
        <f>IF(J18="","",J18+16)</f>
        <v/>
      </c>
      <c r="N18" s="4">
        <f>IF(OR(I18="Contacted",I18="Terms sent"),IF(TODAY()&gt;=M18,"Close (step 3)",IF(TODAY()&gt;=L18,"Follow-up 2",IF(TODAY()&gt;=K18,"Follow-up 1",""))),IF(I18="Shortlisted",IF(G18="","Score it",""),""))</f>
        <v/>
      </c>
      <c r="O18" s="5" t="n"/>
      <c r="P18" s="4" t="n"/>
      <c r="Q18" s="4" t="n"/>
      <c r="R18" s="5" t="n"/>
      <c r="S18" s="4" t="n"/>
      <c r="T18" s="4" t="n"/>
      <c r="U18" s="13" t="n"/>
      <c r="V18" s="13" t="n"/>
      <c r="W18" s="13" t="n"/>
      <c r="X18" s="14" t="n"/>
      <c r="Y18" s="14" t="n"/>
      <c r="Z18" s="8" t="inlineStr">
        <is>
          <t>From docs/gtm/social/communities.csv (verified 2026-10-17). Score before contacting.</t>
        </is>
      </c>
    </row>
    <row r="19">
      <c r="A19" s="4" t="inlineStr">
        <is>
          <t>P015</t>
        </is>
      </c>
      <c r="B19" s="8" t="inlineStr">
        <is>
          <t>podbul</t>
        </is>
      </c>
      <c r="C19" s="4" t="inlineStr">
        <is>
          <t>youtube</t>
        </is>
      </c>
      <c r="D19" s="4" t="inlineStr">
        <is>
          <t>YouTube</t>
        </is>
      </c>
      <c r="E19" s="4" t="inlineStr">
        <is>
          <t>https://www.youtube.com/@podbulsocial</t>
        </is>
      </c>
      <c r="F19" s="12" t="n">
        <v>12400</v>
      </c>
      <c r="G19" s="4" t="n"/>
      <c r="H19" s="4" t="inlineStr">
        <is>
          <t>Ekin</t>
        </is>
      </c>
      <c r="I19" s="4" t="inlineStr">
        <is>
          <t>Shortlisted</t>
        </is>
      </c>
      <c r="J19" s="5" t="n"/>
      <c r="K19" s="5">
        <f>IF(J19="","",J19+4)</f>
        <v/>
      </c>
      <c r="L19" s="5">
        <f>IF(J19="","",J19+9)</f>
        <v/>
      </c>
      <c r="M19" s="5">
        <f>IF(J19="","",J19+16)</f>
        <v/>
      </c>
      <c r="N19" s="4">
        <f>IF(OR(I19="Contacted",I19="Terms sent"),IF(TODAY()&gt;=M19,"Close (step 3)",IF(TODAY()&gt;=L19,"Follow-up 2",IF(TODAY()&gt;=K19,"Follow-up 1",""))),IF(I19="Shortlisted",IF(G19="","Score it",""),""))</f>
        <v/>
      </c>
      <c r="O19" s="5" t="n"/>
      <c r="P19" s="4" t="n"/>
      <c r="Q19" s="4" t="n"/>
      <c r="R19" s="5" t="n"/>
      <c r="S19" s="4" t="n"/>
      <c r="T19" s="4" t="n"/>
      <c r="U19" s="13" t="n"/>
      <c r="V19" s="13" t="n"/>
      <c r="W19" s="13" t="n"/>
      <c r="X19" s="14" t="n"/>
      <c r="Y19" s="14" t="n"/>
      <c r="Z19" s="8" t="inlineStr">
        <is>
          <t>From docs/gtm/social/communities.csv (verified 2026-10-17). Score before contacting.</t>
        </is>
      </c>
    </row>
    <row r="20">
      <c r="A20" s="4" t="inlineStr">
        <is>
          <t>P016</t>
        </is>
      </c>
      <c r="B20" s="8" t="inlineStr">
        <is>
          <t>Veli Seferli</t>
        </is>
      </c>
      <c r="C20" s="4" t="inlineStr">
        <is>
          <t>youtube</t>
        </is>
      </c>
      <c r="D20" s="4" t="inlineStr">
        <is>
          <t>YouTube</t>
        </is>
      </c>
      <c r="E20" s="4" t="inlineStr">
        <is>
          <t>https://www.youtube.com/@veli.seferli</t>
        </is>
      </c>
      <c r="F20" s="12" t="n">
        <v>9100</v>
      </c>
      <c r="G20" s="4" t="n"/>
      <c r="H20" s="4" t="inlineStr">
        <is>
          <t>Ekin</t>
        </is>
      </c>
      <c r="I20" s="4" t="inlineStr">
        <is>
          <t>Shortlisted</t>
        </is>
      </c>
      <c r="J20" s="5" t="n"/>
      <c r="K20" s="5">
        <f>IF(J20="","",J20+4)</f>
        <v/>
      </c>
      <c r="L20" s="5">
        <f>IF(J20="","",J20+9)</f>
        <v/>
      </c>
      <c r="M20" s="5">
        <f>IF(J20="","",J20+16)</f>
        <v/>
      </c>
      <c r="N20" s="4">
        <f>IF(OR(I20="Contacted",I20="Terms sent"),IF(TODAY()&gt;=M20,"Close (step 3)",IF(TODAY()&gt;=L20,"Follow-up 2",IF(TODAY()&gt;=K20,"Follow-up 1",""))),IF(I20="Shortlisted",IF(G20="","Score it",""),""))</f>
        <v/>
      </c>
      <c r="O20" s="5" t="n"/>
      <c r="P20" s="4" t="n"/>
      <c r="Q20" s="4" t="n"/>
      <c r="R20" s="5" t="n"/>
      <c r="S20" s="4" t="n"/>
      <c r="T20" s="4" t="n"/>
      <c r="U20" s="13" t="n"/>
      <c r="V20" s="13" t="n"/>
      <c r="W20" s="13" t="n"/>
      <c r="X20" s="14" t="n"/>
      <c r="Y20" s="14" t="n"/>
      <c r="Z20" s="8" t="inlineStr">
        <is>
          <t>From docs/gtm/social/communities.csv (verified 2026-10-17). Score before contacting.</t>
        </is>
      </c>
    </row>
    <row r="21">
      <c r="A21" s="4" t="inlineStr">
        <is>
          <t>P017</t>
        </is>
      </c>
      <c r="B21" s="8" t="inlineStr">
        <is>
          <t>BRMedya</t>
        </is>
      </c>
      <c r="C21" s="4" t="inlineStr">
        <is>
          <t>youtube</t>
        </is>
      </c>
      <c r="D21" s="4" t="inlineStr">
        <is>
          <t>YouTube</t>
        </is>
      </c>
      <c r="E21" s="4" t="inlineStr">
        <is>
          <t>https://www.youtube.com/@BRMedya</t>
        </is>
      </c>
      <c r="F21" s="12" t="n">
        <v>7910</v>
      </c>
      <c r="G21" s="4" t="n"/>
      <c r="H21" s="4" t="inlineStr">
        <is>
          <t>Ekin</t>
        </is>
      </c>
      <c r="I21" s="4" t="inlineStr">
        <is>
          <t>Shortlisted</t>
        </is>
      </c>
      <c r="J21" s="5" t="n"/>
      <c r="K21" s="5">
        <f>IF(J21="","",J21+4)</f>
        <v/>
      </c>
      <c r="L21" s="5">
        <f>IF(J21="","",J21+9)</f>
        <v/>
      </c>
      <c r="M21" s="5">
        <f>IF(J21="","",J21+16)</f>
        <v/>
      </c>
      <c r="N21" s="4">
        <f>IF(OR(I21="Contacted",I21="Terms sent"),IF(TODAY()&gt;=M21,"Close (step 3)",IF(TODAY()&gt;=L21,"Follow-up 2",IF(TODAY()&gt;=K21,"Follow-up 1",""))),IF(I21="Shortlisted",IF(G21="","Score it",""),""))</f>
        <v/>
      </c>
      <c r="O21" s="5" t="n"/>
      <c r="P21" s="4" t="n"/>
      <c r="Q21" s="4" t="n"/>
      <c r="R21" s="5" t="n"/>
      <c r="S21" s="4" t="n"/>
      <c r="T21" s="4" t="n"/>
      <c r="U21" s="13" t="n"/>
      <c r="V21" s="13" t="n"/>
      <c r="W21" s="13" t="n"/>
      <c r="X21" s="14" t="n"/>
      <c r="Y21" s="14" t="n"/>
      <c r="Z21" s="8" t="inlineStr">
        <is>
          <t>From docs/gtm/social/communities.csv (verified 2026-10-17). Score before contacting.</t>
        </is>
      </c>
    </row>
    <row r="22">
      <c r="A22" s="4" t="inlineStr">
        <is>
          <t>P018</t>
        </is>
      </c>
      <c r="B22" s="8" t="inlineStr">
        <is>
          <t>Babal Mali Müşavirlik</t>
        </is>
      </c>
      <c r="C22" s="4" t="inlineStr">
        <is>
          <t>musavir</t>
        </is>
      </c>
      <c r="D22" s="4" t="inlineStr">
        <is>
          <t>YouTube</t>
        </is>
      </c>
      <c r="E22" s="4" t="inlineStr">
        <is>
          <t>https://www.youtube.com/@BabalMaliM%C3%BC%C5%9Favirlik</t>
        </is>
      </c>
      <c r="F22" s="12" t="n">
        <v>4470</v>
      </c>
      <c r="G22" s="4" t="n"/>
      <c r="H22" s="4" t="inlineStr">
        <is>
          <t>Ekin</t>
        </is>
      </c>
      <c r="I22" s="4" t="inlineStr">
        <is>
          <t>Shortlisted</t>
        </is>
      </c>
      <c r="J22" s="5" t="n"/>
      <c r="K22" s="5">
        <f>IF(J22="","",J22+4)</f>
        <v/>
      </c>
      <c r="L22" s="5">
        <f>IF(J22="","",J22+9)</f>
        <v/>
      </c>
      <c r="M22" s="5">
        <f>IF(J22="","",J22+16)</f>
        <v/>
      </c>
      <c r="N22" s="4">
        <f>IF(OR(I22="Contacted",I22="Terms sent"),IF(TODAY()&gt;=M22,"Close (step 3)",IF(TODAY()&gt;=L22,"Follow-up 2",IF(TODAY()&gt;=K22,"Follow-up 1",""))),IF(I22="Shortlisted",IF(G22="","Score it",""),""))</f>
        <v/>
      </c>
      <c r="O22" s="5" t="n"/>
      <c r="P22" s="4" t="n"/>
      <c r="Q22" s="4" t="n"/>
      <c r="R22" s="5" t="n"/>
      <c r="S22" s="4" t="n"/>
      <c r="T22" s="4" t="n"/>
      <c r="U22" s="13" t="n"/>
      <c r="V22" s="13" t="n"/>
      <c r="W22" s="13" t="n"/>
      <c r="X22" s="14" t="n"/>
      <c r="Y22" s="14" t="n"/>
      <c r="Z22" s="8" t="inlineStr">
        <is>
          <t>From docs/gtm/social/communities.csv (verified 2026-10-17). Score before contacting.</t>
        </is>
      </c>
    </row>
    <row r="23">
      <c r="A23" s="4" t="inlineStr">
        <is>
          <t>P019</t>
        </is>
      </c>
      <c r="B23" s="8" t="inlineStr">
        <is>
          <t>E-Ticaret Adamı</t>
        </is>
      </c>
      <c r="C23" s="4" t="inlineStr">
        <is>
          <t>youtube</t>
        </is>
      </c>
      <c r="D23" s="4" t="inlineStr">
        <is>
          <t>YouTube</t>
        </is>
      </c>
      <c r="E23" s="4" t="inlineStr">
        <is>
          <t>https://www.youtube.com/@eticaretadami</t>
        </is>
      </c>
      <c r="F23" s="12" t="n">
        <v>2110</v>
      </c>
      <c r="G23" s="4" t="n"/>
      <c r="H23" s="4" t="inlineStr">
        <is>
          <t>Ekin</t>
        </is>
      </c>
      <c r="I23" s="4" t="inlineStr">
        <is>
          <t>Shortlisted</t>
        </is>
      </c>
      <c r="J23" s="5" t="n"/>
      <c r="K23" s="5">
        <f>IF(J23="","",J23+4)</f>
        <v/>
      </c>
      <c r="L23" s="5">
        <f>IF(J23="","",J23+9)</f>
        <v/>
      </c>
      <c r="M23" s="5">
        <f>IF(J23="","",J23+16)</f>
        <v/>
      </c>
      <c r="N23" s="4">
        <f>IF(OR(I23="Contacted",I23="Terms sent"),IF(TODAY()&gt;=M23,"Close (step 3)",IF(TODAY()&gt;=L23,"Follow-up 2",IF(TODAY()&gt;=K23,"Follow-up 1",""))),IF(I23="Shortlisted",IF(G23="","Score it",""),""))</f>
        <v/>
      </c>
      <c r="O23" s="5" t="n"/>
      <c r="P23" s="4" t="n"/>
      <c r="Q23" s="4" t="n"/>
      <c r="R23" s="5" t="n"/>
      <c r="S23" s="4" t="n"/>
      <c r="T23" s="4" t="n"/>
      <c r="U23" s="13" t="n"/>
      <c r="V23" s="13" t="n"/>
      <c r="W23" s="13" t="n"/>
      <c r="X23" s="14" t="n"/>
      <c r="Y23" s="14" t="n"/>
      <c r="Z23" s="8" t="inlineStr">
        <is>
          <t>From docs/gtm/social/communities.csv (verified 2026-10-17). Score before contacting.</t>
        </is>
      </c>
    </row>
    <row r="24">
      <c r="A24" s="4" t="inlineStr">
        <is>
          <t>P020</t>
        </is>
      </c>
      <c r="B24" s="8" t="inlineStr">
        <is>
          <t>E-İhracat Akademisi (ShipEntegra)</t>
        </is>
      </c>
      <c r="C24" s="4" t="inlineStr">
        <is>
          <t>youtube</t>
        </is>
      </c>
      <c r="D24" s="4" t="inlineStr">
        <is>
          <t>YouTube</t>
        </is>
      </c>
      <c r="E24" s="4" t="inlineStr">
        <is>
          <t>https://www.youtube.com/@shipentegra</t>
        </is>
      </c>
      <c r="F24" s="12" t="n">
        <v>2760</v>
      </c>
      <c r="G24" s="4" t="n"/>
      <c r="H24" s="4" t="inlineStr">
        <is>
          <t>Ekin</t>
        </is>
      </c>
      <c r="I24" s="4" t="inlineStr">
        <is>
          <t>Shortlisted</t>
        </is>
      </c>
      <c r="J24" s="5" t="n"/>
      <c r="K24" s="5">
        <f>IF(J24="","",J24+4)</f>
        <v/>
      </c>
      <c r="L24" s="5">
        <f>IF(J24="","",J24+9)</f>
        <v/>
      </c>
      <c r="M24" s="5">
        <f>IF(J24="","",J24+16)</f>
        <v/>
      </c>
      <c r="N24" s="4">
        <f>IF(OR(I24="Contacted",I24="Terms sent"),IF(TODAY()&gt;=M24,"Close (step 3)",IF(TODAY()&gt;=L24,"Follow-up 2",IF(TODAY()&gt;=K24,"Follow-up 1",""))),IF(I24="Shortlisted",IF(G24="","Score it",""),""))</f>
        <v/>
      </c>
      <c r="O24" s="5" t="n"/>
      <c r="P24" s="4" t="n"/>
      <c r="Q24" s="4" t="n"/>
      <c r="R24" s="5" t="n"/>
      <c r="S24" s="4" t="n"/>
      <c r="T24" s="4" t="n"/>
      <c r="U24" s="13" t="n"/>
      <c r="V24" s="13" t="n"/>
      <c r="W24" s="13" t="n"/>
      <c r="X24" s="14" t="n"/>
      <c r="Y24" s="14" t="n"/>
      <c r="Z24" s="8" t="inlineStr">
        <is>
          <t>From docs/gtm/social/communities.csv (verified 2026-10-17). Score before contacting.</t>
        </is>
      </c>
    </row>
    <row r="25">
      <c r="A25" s="4" t="inlineStr">
        <is>
          <t>P021</t>
        </is>
      </c>
      <c r="B25" s="8" t="inlineStr">
        <is>
          <t>E-Aramızda (bülten)</t>
        </is>
      </c>
      <c r="C25" s="4" t="inlineStr">
        <is>
          <t>other</t>
        </is>
      </c>
      <c r="D25" s="4" t="inlineStr">
        <is>
          <t>Substack</t>
        </is>
      </c>
      <c r="E25" s="4" t="inlineStr">
        <is>
          <t>https://gkhantanrverdi.substack.com</t>
        </is>
      </c>
      <c r="F25" s="12" t="n"/>
      <c r="G25" s="4" t="n"/>
      <c r="H25" s="4" t="inlineStr">
        <is>
          <t>Merisa</t>
        </is>
      </c>
      <c r="I25" s="4" t="inlineStr">
        <is>
          <t>Shortlisted</t>
        </is>
      </c>
      <c r="J25" s="5" t="n"/>
      <c r="K25" s="5">
        <f>IF(J25="","",J25+4)</f>
        <v/>
      </c>
      <c r="L25" s="5">
        <f>IF(J25="","",J25+9)</f>
        <v/>
      </c>
      <c r="M25" s="5">
        <f>IF(J25="","",J25+16)</f>
        <v/>
      </c>
      <c r="N25" s="4">
        <f>IF(OR(I25="Contacted",I25="Terms sent"),IF(TODAY()&gt;=M25,"Close (step 3)",IF(TODAY()&gt;=L25,"Follow-up 2",IF(TODAY()&gt;=K25,"Follow-up 1",""))),IF(I25="Shortlisted",IF(G25="","Score it",""),""))</f>
        <v/>
      </c>
      <c r="O25" s="5" t="n"/>
      <c r="P25" s="4" t="n"/>
      <c r="Q25" s="4" t="n"/>
      <c r="R25" s="5" t="n"/>
      <c r="S25" s="4" t="n"/>
      <c r="T25" s="4" t="n"/>
      <c r="U25" s="13" t="n"/>
      <c r="V25" s="13" t="n"/>
      <c r="W25" s="13" t="n"/>
      <c r="X25" s="14" t="n"/>
      <c r="Y25" s="14" t="n"/>
      <c r="Z25" s="8" t="inlineStr">
        <is>
          <t>From docs/gtm/social/communities.csv (verified 2026-10-17). Score before contacting.</t>
        </is>
      </c>
    </row>
    <row r="26">
      <c r="A26" s="4" t="inlineStr">
        <is>
          <t>P022</t>
        </is>
      </c>
      <c r="B26" s="8" t="inlineStr">
        <is>
          <t>Sıfırdan Globale (bülten)</t>
        </is>
      </c>
      <c r="C26" s="4" t="inlineStr">
        <is>
          <t>other</t>
        </is>
      </c>
      <c r="D26" s="4" t="inlineStr">
        <is>
          <t>Substack</t>
        </is>
      </c>
      <c r="E26" s="4" t="inlineStr">
        <is>
          <t>https://sifirdanglobale.substack.com</t>
        </is>
      </c>
      <c r="F26" s="12" t="n">
        <v>665</v>
      </c>
      <c r="G26" s="4" t="n"/>
      <c r="H26" s="4" t="inlineStr">
        <is>
          <t>Merisa</t>
        </is>
      </c>
      <c r="I26" s="4" t="inlineStr">
        <is>
          <t>Shortlisted</t>
        </is>
      </c>
      <c r="J26" s="5" t="n"/>
      <c r="K26" s="5">
        <f>IF(J26="","",J26+4)</f>
        <v/>
      </c>
      <c r="L26" s="5">
        <f>IF(J26="","",J26+9)</f>
        <v/>
      </c>
      <c r="M26" s="5">
        <f>IF(J26="","",J26+16)</f>
        <v/>
      </c>
      <c r="N26" s="4">
        <f>IF(OR(I26="Contacted",I26="Terms sent"),IF(TODAY()&gt;=M26,"Close (step 3)",IF(TODAY()&gt;=L26,"Follow-up 2",IF(TODAY()&gt;=K26,"Follow-up 1",""))),IF(I26="Shortlisted",IF(G26="","Score it",""),""))</f>
        <v/>
      </c>
      <c r="O26" s="5" t="n"/>
      <c r="P26" s="4" t="n"/>
      <c r="Q26" s="4" t="n"/>
      <c r="R26" s="5" t="n"/>
      <c r="S26" s="4" t="n"/>
      <c r="T26" s="4" t="n"/>
      <c r="U26" s="13" t="n"/>
      <c r="V26" s="13" t="n"/>
      <c r="W26" s="13" t="n"/>
      <c r="X26" s="14" t="n"/>
      <c r="Y26" s="14" t="n"/>
      <c r="Z26" s="8" t="inlineStr">
        <is>
          <t>From docs/gtm/social/communities.csv (verified 2026-10-17). Score before contacting.</t>
        </is>
      </c>
    </row>
    <row r="27">
      <c r="A27" s="4" t="n"/>
      <c r="B27" s="8" t="n"/>
      <c r="C27" s="4" t="n"/>
      <c r="D27" s="4" t="n"/>
      <c r="E27" s="4" t="n"/>
      <c r="F27" s="12" t="n"/>
      <c r="G27" s="4" t="n"/>
      <c r="H27" s="4" t="n"/>
      <c r="I27" s="4" t="n"/>
      <c r="J27" s="5" t="n"/>
      <c r="K27" s="5">
        <f>IF(J27="","",J27+4)</f>
        <v/>
      </c>
      <c r="L27" s="5">
        <f>IF(J27="","",J27+9)</f>
        <v/>
      </c>
      <c r="M27" s="5">
        <f>IF(J27="","",J27+16)</f>
        <v/>
      </c>
      <c r="N27" s="4">
        <f>IF(OR(I27="Contacted",I27="Terms sent"),IF(TODAY()&gt;=M27,"Close (step 3)",IF(TODAY()&gt;=L27,"Follow-up 2",IF(TODAY()&gt;=K27,"Follow-up 1",""))),IF(I27="Shortlisted",IF(G27="","Score it",""),""))</f>
        <v/>
      </c>
      <c r="O27" s="5" t="n"/>
      <c r="P27" s="4" t="n"/>
      <c r="Q27" s="4" t="n"/>
      <c r="R27" s="5" t="n"/>
      <c r="S27" s="4" t="n"/>
      <c r="T27" s="4" t="n"/>
      <c r="U27" s="13" t="n"/>
      <c r="V27" s="13" t="n"/>
      <c r="W27" s="13" t="n"/>
      <c r="X27" s="14" t="n"/>
      <c r="Y27" s="14" t="n"/>
      <c r="Z27" s="8" t="n"/>
    </row>
    <row r="28">
      <c r="A28" s="4" t="n"/>
      <c r="B28" s="8" t="n"/>
      <c r="C28" s="4" t="n"/>
      <c r="D28" s="4" t="n"/>
      <c r="E28" s="4" t="n"/>
      <c r="F28" s="12" t="n"/>
      <c r="G28" s="4" t="n"/>
      <c r="H28" s="4" t="n"/>
      <c r="I28" s="4" t="n"/>
      <c r="J28" s="5" t="n"/>
      <c r="K28" s="5">
        <f>IF(J28="","",J28+4)</f>
        <v/>
      </c>
      <c r="L28" s="5">
        <f>IF(J28="","",J28+9)</f>
        <v/>
      </c>
      <c r="M28" s="5">
        <f>IF(J28="","",J28+16)</f>
        <v/>
      </c>
      <c r="N28" s="4">
        <f>IF(OR(I28="Contacted",I28="Terms sent"),IF(TODAY()&gt;=M28,"Close (step 3)",IF(TODAY()&gt;=L28,"Follow-up 2",IF(TODAY()&gt;=K28,"Follow-up 1",""))),IF(I28="Shortlisted",IF(G28="","Score it",""),""))</f>
        <v/>
      </c>
      <c r="O28" s="5" t="n"/>
      <c r="P28" s="4" t="n"/>
      <c r="Q28" s="4" t="n"/>
      <c r="R28" s="5" t="n"/>
      <c r="S28" s="4" t="n"/>
      <c r="T28" s="4" t="n"/>
      <c r="U28" s="13" t="n"/>
      <c r="V28" s="13" t="n"/>
      <c r="W28" s="13" t="n"/>
      <c r="X28" s="14" t="n"/>
      <c r="Y28" s="14" t="n"/>
      <c r="Z28" s="8" t="n"/>
    </row>
    <row r="29">
      <c r="A29" s="4" t="n"/>
      <c r="B29" s="8" t="n"/>
      <c r="C29" s="4" t="n"/>
      <c r="D29" s="4" t="n"/>
      <c r="E29" s="4" t="n"/>
      <c r="F29" s="12" t="n"/>
      <c r="G29" s="4" t="n"/>
      <c r="H29" s="4" t="n"/>
      <c r="I29" s="4" t="n"/>
      <c r="J29" s="5" t="n"/>
      <c r="K29" s="5">
        <f>IF(J29="","",J29+4)</f>
        <v/>
      </c>
      <c r="L29" s="5">
        <f>IF(J29="","",J29+9)</f>
        <v/>
      </c>
      <c r="M29" s="5">
        <f>IF(J29="","",J29+16)</f>
        <v/>
      </c>
      <c r="N29" s="4">
        <f>IF(OR(I29="Contacted",I29="Terms sent"),IF(TODAY()&gt;=M29,"Close (step 3)",IF(TODAY()&gt;=L29,"Follow-up 2",IF(TODAY()&gt;=K29,"Follow-up 1",""))),IF(I29="Shortlisted",IF(G29="","Score it",""),""))</f>
        <v/>
      </c>
      <c r="O29" s="5" t="n"/>
      <c r="P29" s="4" t="n"/>
      <c r="Q29" s="4" t="n"/>
      <c r="R29" s="5" t="n"/>
      <c r="S29" s="4" t="n"/>
      <c r="T29" s="4" t="n"/>
      <c r="U29" s="13" t="n"/>
      <c r="V29" s="13" t="n"/>
      <c r="W29" s="13" t="n"/>
      <c r="X29" s="14" t="n"/>
      <c r="Y29" s="14" t="n"/>
      <c r="Z29" s="8" t="n"/>
    </row>
    <row r="30">
      <c r="A30" s="4" t="n"/>
      <c r="B30" s="8" t="n"/>
      <c r="C30" s="4" t="n"/>
      <c r="D30" s="4" t="n"/>
      <c r="E30" s="4" t="n"/>
      <c r="F30" s="12" t="n"/>
      <c r="G30" s="4" t="n"/>
      <c r="H30" s="4" t="n"/>
      <c r="I30" s="4" t="n"/>
      <c r="J30" s="5" t="n"/>
      <c r="K30" s="5">
        <f>IF(J30="","",J30+4)</f>
        <v/>
      </c>
      <c r="L30" s="5">
        <f>IF(J30="","",J30+9)</f>
        <v/>
      </c>
      <c r="M30" s="5">
        <f>IF(J30="","",J30+16)</f>
        <v/>
      </c>
      <c r="N30" s="4">
        <f>IF(OR(I30="Contacted",I30="Terms sent"),IF(TODAY()&gt;=M30,"Close (step 3)",IF(TODAY()&gt;=L30,"Follow-up 2",IF(TODAY()&gt;=K30,"Follow-up 1",""))),IF(I30="Shortlisted",IF(G30="","Score it",""),""))</f>
        <v/>
      </c>
      <c r="O30" s="5" t="n"/>
      <c r="P30" s="4" t="n"/>
      <c r="Q30" s="4" t="n"/>
      <c r="R30" s="5" t="n"/>
      <c r="S30" s="4" t="n"/>
      <c r="T30" s="4" t="n"/>
      <c r="U30" s="13" t="n"/>
      <c r="V30" s="13" t="n"/>
      <c r="W30" s="13" t="n"/>
      <c r="X30" s="14" t="n"/>
      <c r="Y30" s="14" t="n"/>
      <c r="Z30" s="8" t="n"/>
    </row>
    <row r="31">
      <c r="A31" s="4" t="n"/>
      <c r="B31" s="8" t="n"/>
      <c r="C31" s="4" t="n"/>
      <c r="D31" s="4" t="n"/>
      <c r="E31" s="4" t="n"/>
      <c r="F31" s="12" t="n"/>
      <c r="G31" s="4" t="n"/>
      <c r="H31" s="4" t="n"/>
      <c r="I31" s="4" t="n"/>
      <c r="J31" s="5" t="n"/>
      <c r="K31" s="5">
        <f>IF(J31="","",J31+4)</f>
        <v/>
      </c>
      <c r="L31" s="5">
        <f>IF(J31="","",J31+9)</f>
        <v/>
      </c>
      <c r="M31" s="5">
        <f>IF(J31="","",J31+16)</f>
        <v/>
      </c>
      <c r="N31" s="4">
        <f>IF(OR(I31="Contacted",I31="Terms sent"),IF(TODAY()&gt;=M31,"Close (step 3)",IF(TODAY()&gt;=L31,"Follow-up 2",IF(TODAY()&gt;=K31,"Follow-up 1",""))),IF(I31="Shortlisted",IF(G31="","Score it",""),""))</f>
        <v/>
      </c>
      <c r="O31" s="5" t="n"/>
      <c r="P31" s="4" t="n"/>
      <c r="Q31" s="4" t="n"/>
      <c r="R31" s="5" t="n"/>
      <c r="S31" s="4" t="n"/>
      <c r="T31" s="4" t="n"/>
      <c r="U31" s="13" t="n"/>
      <c r="V31" s="13" t="n"/>
      <c r="W31" s="13" t="n"/>
      <c r="X31" s="14" t="n"/>
      <c r="Y31" s="14" t="n"/>
      <c r="Z31" s="8" t="n"/>
    </row>
    <row r="32">
      <c r="A32" s="4" t="n"/>
      <c r="B32" s="8" t="n"/>
      <c r="C32" s="4" t="n"/>
      <c r="D32" s="4" t="n"/>
      <c r="E32" s="4" t="n"/>
      <c r="F32" s="12" t="n"/>
      <c r="G32" s="4" t="n"/>
      <c r="H32" s="4" t="n"/>
      <c r="I32" s="4" t="n"/>
      <c r="J32" s="5" t="n"/>
      <c r="K32" s="5">
        <f>IF(J32="","",J32+4)</f>
        <v/>
      </c>
      <c r="L32" s="5">
        <f>IF(J32="","",J32+9)</f>
        <v/>
      </c>
      <c r="M32" s="5">
        <f>IF(J32="","",J32+16)</f>
        <v/>
      </c>
      <c r="N32" s="4">
        <f>IF(OR(I32="Contacted",I32="Terms sent"),IF(TODAY()&gt;=M32,"Close (step 3)",IF(TODAY()&gt;=L32,"Follow-up 2",IF(TODAY()&gt;=K32,"Follow-up 1",""))),IF(I32="Shortlisted",IF(G32="","Score it",""),""))</f>
        <v/>
      </c>
      <c r="O32" s="5" t="n"/>
      <c r="P32" s="4" t="n"/>
      <c r="Q32" s="4" t="n"/>
      <c r="R32" s="5" t="n"/>
      <c r="S32" s="4" t="n"/>
      <c r="T32" s="4" t="n"/>
      <c r="U32" s="13" t="n"/>
      <c r="V32" s="13" t="n"/>
      <c r="W32" s="13" t="n"/>
      <c r="X32" s="14" t="n"/>
      <c r="Y32" s="14" t="n"/>
      <c r="Z32" s="8" t="n"/>
    </row>
    <row r="33">
      <c r="A33" s="4" t="n"/>
      <c r="B33" s="8" t="n"/>
      <c r="C33" s="4" t="n"/>
      <c r="D33" s="4" t="n"/>
      <c r="E33" s="4" t="n"/>
      <c r="F33" s="12" t="n"/>
      <c r="G33" s="4" t="n"/>
      <c r="H33" s="4" t="n"/>
      <c r="I33" s="4" t="n"/>
      <c r="J33" s="5" t="n"/>
      <c r="K33" s="5">
        <f>IF(J33="","",J33+4)</f>
        <v/>
      </c>
      <c r="L33" s="5">
        <f>IF(J33="","",J33+9)</f>
        <v/>
      </c>
      <c r="M33" s="5">
        <f>IF(J33="","",J33+16)</f>
        <v/>
      </c>
      <c r="N33" s="4">
        <f>IF(OR(I33="Contacted",I33="Terms sent"),IF(TODAY()&gt;=M33,"Close (step 3)",IF(TODAY()&gt;=L33,"Follow-up 2",IF(TODAY()&gt;=K33,"Follow-up 1",""))),IF(I33="Shortlisted",IF(G33="","Score it",""),""))</f>
        <v/>
      </c>
      <c r="O33" s="5" t="n"/>
      <c r="P33" s="4" t="n"/>
      <c r="Q33" s="4" t="n"/>
      <c r="R33" s="5" t="n"/>
      <c r="S33" s="4" t="n"/>
      <c r="T33" s="4" t="n"/>
      <c r="U33" s="13" t="n"/>
      <c r="V33" s="13" t="n"/>
      <c r="W33" s="13" t="n"/>
      <c r="X33" s="14" t="n"/>
      <c r="Y33" s="14" t="n"/>
      <c r="Z33" s="8" t="n"/>
    </row>
    <row r="34">
      <c r="A34" s="4" t="n"/>
      <c r="B34" s="8" t="n"/>
      <c r="C34" s="4" t="n"/>
      <c r="D34" s="4" t="n"/>
      <c r="E34" s="4" t="n"/>
      <c r="F34" s="12" t="n"/>
      <c r="G34" s="4" t="n"/>
      <c r="H34" s="4" t="n"/>
      <c r="I34" s="4" t="n"/>
      <c r="J34" s="5" t="n"/>
      <c r="K34" s="5">
        <f>IF(J34="","",J34+4)</f>
        <v/>
      </c>
      <c r="L34" s="5">
        <f>IF(J34="","",J34+9)</f>
        <v/>
      </c>
      <c r="M34" s="5">
        <f>IF(J34="","",J34+16)</f>
        <v/>
      </c>
      <c r="N34" s="4">
        <f>IF(OR(I34="Contacted",I34="Terms sent"),IF(TODAY()&gt;=M34,"Close (step 3)",IF(TODAY()&gt;=L34,"Follow-up 2",IF(TODAY()&gt;=K34,"Follow-up 1",""))),IF(I34="Shortlisted",IF(G34="","Score it",""),""))</f>
        <v/>
      </c>
      <c r="O34" s="5" t="n"/>
      <c r="P34" s="4" t="n"/>
      <c r="Q34" s="4" t="n"/>
      <c r="R34" s="5" t="n"/>
      <c r="S34" s="4" t="n"/>
      <c r="T34" s="4" t="n"/>
      <c r="U34" s="13" t="n"/>
      <c r="V34" s="13" t="n"/>
      <c r="W34" s="13" t="n"/>
      <c r="X34" s="14" t="n"/>
      <c r="Y34" s="14" t="n"/>
      <c r="Z34" s="8" t="n"/>
    </row>
    <row r="35">
      <c r="A35" s="4" t="n"/>
      <c r="B35" s="8" t="n"/>
      <c r="C35" s="4" t="n"/>
      <c r="D35" s="4" t="n"/>
      <c r="E35" s="4" t="n"/>
      <c r="F35" s="12" t="n"/>
      <c r="G35" s="4" t="n"/>
      <c r="H35" s="4" t="n"/>
      <c r="I35" s="4" t="n"/>
      <c r="J35" s="5" t="n"/>
      <c r="K35" s="5">
        <f>IF(J35="","",J35+4)</f>
        <v/>
      </c>
      <c r="L35" s="5">
        <f>IF(J35="","",J35+9)</f>
        <v/>
      </c>
      <c r="M35" s="5">
        <f>IF(J35="","",J35+16)</f>
        <v/>
      </c>
      <c r="N35" s="4">
        <f>IF(OR(I35="Contacted",I35="Terms sent"),IF(TODAY()&gt;=M35,"Close (step 3)",IF(TODAY()&gt;=L35,"Follow-up 2",IF(TODAY()&gt;=K35,"Follow-up 1",""))),IF(I35="Shortlisted",IF(G35="","Score it",""),""))</f>
        <v/>
      </c>
      <c r="O35" s="5" t="n"/>
      <c r="P35" s="4" t="n"/>
      <c r="Q35" s="4" t="n"/>
      <c r="R35" s="5" t="n"/>
      <c r="S35" s="4" t="n"/>
      <c r="T35" s="4" t="n"/>
      <c r="U35" s="13" t="n"/>
      <c r="V35" s="13" t="n"/>
      <c r="W35" s="13" t="n"/>
      <c r="X35" s="14" t="n"/>
      <c r="Y35" s="14" t="n"/>
      <c r="Z35" s="8" t="n"/>
    </row>
    <row r="36">
      <c r="A36" s="4" t="n"/>
      <c r="B36" s="8" t="n"/>
      <c r="C36" s="4" t="n"/>
      <c r="D36" s="4" t="n"/>
      <c r="E36" s="4" t="n"/>
      <c r="F36" s="12" t="n"/>
      <c r="G36" s="4" t="n"/>
      <c r="H36" s="4" t="n"/>
      <c r="I36" s="4" t="n"/>
      <c r="J36" s="5" t="n"/>
      <c r="K36" s="5">
        <f>IF(J36="","",J36+4)</f>
        <v/>
      </c>
      <c r="L36" s="5">
        <f>IF(J36="","",J36+9)</f>
        <v/>
      </c>
      <c r="M36" s="5">
        <f>IF(J36="","",J36+16)</f>
        <v/>
      </c>
      <c r="N36" s="4">
        <f>IF(OR(I36="Contacted",I36="Terms sent"),IF(TODAY()&gt;=M36,"Close (step 3)",IF(TODAY()&gt;=L36,"Follow-up 2",IF(TODAY()&gt;=K36,"Follow-up 1",""))),IF(I36="Shortlisted",IF(G36="","Score it",""),""))</f>
        <v/>
      </c>
      <c r="O36" s="5" t="n"/>
      <c r="P36" s="4" t="n"/>
      <c r="Q36" s="4" t="n"/>
      <c r="R36" s="5" t="n"/>
      <c r="S36" s="4" t="n"/>
      <c r="T36" s="4" t="n"/>
      <c r="U36" s="13" t="n"/>
      <c r="V36" s="13" t="n"/>
      <c r="W36" s="13" t="n"/>
      <c r="X36" s="14" t="n"/>
      <c r="Y36" s="14" t="n"/>
      <c r="Z36" s="8" t="n"/>
    </row>
    <row r="37">
      <c r="A37" s="4" t="n"/>
      <c r="B37" s="8" t="n"/>
      <c r="C37" s="4" t="n"/>
      <c r="D37" s="4" t="n"/>
      <c r="E37" s="4" t="n"/>
      <c r="F37" s="12" t="n"/>
      <c r="G37" s="4" t="n"/>
      <c r="H37" s="4" t="n"/>
      <c r="I37" s="4" t="n"/>
      <c r="J37" s="5" t="n"/>
      <c r="K37" s="5">
        <f>IF(J37="","",J37+4)</f>
        <v/>
      </c>
      <c r="L37" s="5">
        <f>IF(J37="","",J37+9)</f>
        <v/>
      </c>
      <c r="M37" s="5">
        <f>IF(J37="","",J37+16)</f>
        <v/>
      </c>
      <c r="N37" s="4">
        <f>IF(OR(I37="Contacted",I37="Terms sent"),IF(TODAY()&gt;=M37,"Close (step 3)",IF(TODAY()&gt;=L37,"Follow-up 2",IF(TODAY()&gt;=K37,"Follow-up 1",""))),IF(I37="Shortlisted",IF(G37="","Score it",""),""))</f>
        <v/>
      </c>
      <c r="O37" s="5" t="n"/>
      <c r="P37" s="4" t="n"/>
      <c r="Q37" s="4" t="n"/>
      <c r="R37" s="5" t="n"/>
      <c r="S37" s="4" t="n"/>
      <c r="T37" s="4" t="n"/>
      <c r="U37" s="13" t="n"/>
      <c r="V37" s="13" t="n"/>
      <c r="W37" s="13" t="n"/>
      <c r="X37" s="14" t="n"/>
      <c r="Y37" s="14" t="n"/>
      <c r="Z37" s="8" t="n"/>
    </row>
    <row r="38">
      <c r="A38" s="4" t="n"/>
      <c r="B38" s="8" t="n"/>
      <c r="C38" s="4" t="n"/>
      <c r="D38" s="4" t="n"/>
      <c r="E38" s="4" t="n"/>
      <c r="F38" s="12" t="n"/>
      <c r="G38" s="4" t="n"/>
      <c r="H38" s="4" t="n"/>
      <c r="I38" s="4" t="n"/>
      <c r="J38" s="5" t="n"/>
      <c r="K38" s="5">
        <f>IF(J38="","",J38+4)</f>
        <v/>
      </c>
      <c r="L38" s="5">
        <f>IF(J38="","",J38+9)</f>
        <v/>
      </c>
      <c r="M38" s="5">
        <f>IF(J38="","",J38+16)</f>
        <v/>
      </c>
      <c r="N38" s="4">
        <f>IF(OR(I38="Contacted",I38="Terms sent"),IF(TODAY()&gt;=M38,"Close (step 3)",IF(TODAY()&gt;=L38,"Follow-up 2",IF(TODAY()&gt;=K38,"Follow-up 1",""))),IF(I38="Shortlisted",IF(G38="","Score it",""),""))</f>
        <v/>
      </c>
      <c r="O38" s="5" t="n"/>
      <c r="P38" s="4" t="n"/>
      <c r="Q38" s="4" t="n"/>
      <c r="R38" s="5" t="n"/>
      <c r="S38" s="4" t="n"/>
      <c r="T38" s="4" t="n"/>
      <c r="U38" s="13" t="n"/>
      <c r="V38" s="13" t="n"/>
      <c r="W38" s="13" t="n"/>
      <c r="X38" s="14" t="n"/>
      <c r="Y38" s="14" t="n"/>
      <c r="Z38" s="8" t="n"/>
    </row>
    <row r="39">
      <c r="A39" s="4" t="n"/>
      <c r="B39" s="8" t="n"/>
      <c r="C39" s="4" t="n"/>
      <c r="D39" s="4" t="n"/>
      <c r="E39" s="4" t="n"/>
      <c r="F39" s="12" t="n"/>
      <c r="G39" s="4" t="n"/>
      <c r="H39" s="4" t="n"/>
      <c r="I39" s="4" t="n"/>
      <c r="J39" s="5" t="n"/>
      <c r="K39" s="5">
        <f>IF(J39="","",J39+4)</f>
        <v/>
      </c>
      <c r="L39" s="5">
        <f>IF(J39="","",J39+9)</f>
        <v/>
      </c>
      <c r="M39" s="5">
        <f>IF(J39="","",J39+16)</f>
        <v/>
      </c>
      <c r="N39" s="4">
        <f>IF(OR(I39="Contacted",I39="Terms sent"),IF(TODAY()&gt;=M39,"Close (step 3)",IF(TODAY()&gt;=L39,"Follow-up 2",IF(TODAY()&gt;=K39,"Follow-up 1",""))),IF(I39="Shortlisted",IF(G39="","Score it",""),""))</f>
        <v/>
      </c>
      <c r="O39" s="5" t="n"/>
      <c r="P39" s="4" t="n"/>
      <c r="Q39" s="4" t="n"/>
      <c r="R39" s="5" t="n"/>
      <c r="S39" s="4" t="n"/>
      <c r="T39" s="4" t="n"/>
      <c r="U39" s="13" t="n"/>
      <c r="V39" s="13" t="n"/>
      <c r="W39" s="13" t="n"/>
      <c r="X39" s="14" t="n"/>
      <c r="Y39" s="14" t="n"/>
      <c r="Z39" s="8" t="n"/>
    </row>
    <row r="40">
      <c r="A40" s="4" t="n"/>
      <c r="B40" s="8" t="n"/>
      <c r="C40" s="4" t="n"/>
      <c r="D40" s="4" t="n"/>
      <c r="E40" s="4" t="n"/>
      <c r="F40" s="12" t="n"/>
      <c r="G40" s="4" t="n"/>
      <c r="H40" s="4" t="n"/>
      <c r="I40" s="4" t="n"/>
      <c r="J40" s="5" t="n"/>
      <c r="K40" s="5">
        <f>IF(J40="","",J40+4)</f>
        <v/>
      </c>
      <c r="L40" s="5">
        <f>IF(J40="","",J40+9)</f>
        <v/>
      </c>
      <c r="M40" s="5">
        <f>IF(J40="","",J40+16)</f>
        <v/>
      </c>
      <c r="N40" s="4">
        <f>IF(OR(I40="Contacted",I40="Terms sent"),IF(TODAY()&gt;=M40,"Close (step 3)",IF(TODAY()&gt;=L40,"Follow-up 2",IF(TODAY()&gt;=K40,"Follow-up 1",""))),IF(I40="Shortlisted",IF(G40="","Score it",""),""))</f>
        <v/>
      </c>
      <c r="O40" s="5" t="n"/>
      <c r="P40" s="4" t="n"/>
      <c r="Q40" s="4" t="n"/>
      <c r="R40" s="5" t="n"/>
      <c r="S40" s="4" t="n"/>
      <c r="T40" s="4" t="n"/>
      <c r="U40" s="13" t="n"/>
      <c r="V40" s="13" t="n"/>
      <c r="W40" s="13" t="n"/>
      <c r="X40" s="14" t="n"/>
      <c r="Y40" s="14" t="n"/>
      <c r="Z40" s="8" t="n"/>
    </row>
    <row r="41">
      <c r="A41" s="4" t="n"/>
      <c r="B41" s="8" t="n"/>
      <c r="C41" s="4" t="n"/>
      <c r="D41" s="4" t="n"/>
      <c r="E41" s="4" t="n"/>
      <c r="F41" s="12" t="n"/>
      <c r="G41" s="4" t="n"/>
      <c r="H41" s="4" t="n"/>
      <c r="I41" s="4" t="n"/>
      <c r="J41" s="5" t="n"/>
      <c r="K41" s="5">
        <f>IF(J41="","",J41+4)</f>
        <v/>
      </c>
      <c r="L41" s="5">
        <f>IF(J41="","",J41+9)</f>
        <v/>
      </c>
      <c r="M41" s="5">
        <f>IF(J41="","",J41+16)</f>
        <v/>
      </c>
      <c r="N41" s="4">
        <f>IF(OR(I41="Contacted",I41="Terms sent"),IF(TODAY()&gt;=M41,"Close (step 3)",IF(TODAY()&gt;=L41,"Follow-up 2",IF(TODAY()&gt;=K41,"Follow-up 1",""))),IF(I41="Shortlisted",IF(G41="","Score it",""),""))</f>
        <v/>
      </c>
      <c r="O41" s="5" t="n"/>
      <c r="P41" s="4" t="n"/>
      <c r="Q41" s="4" t="n"/>
      <c r="R41" s="5" t="n"/>
      <c r="S41" s="4" t="n"/>
      <c r="T41" s="4" t="n"/>
      <c r="U41" s="13" t="n"/>
      <c r="V41" s="13" t="n"/>
      <c r="W41" s="13" t="n"/>
      <c r="X41" s="14" t="n"/>
      <c r="Y41" s="14" t="n"/>
      <c r="Z41" s="8" t="n"/>
    </row>
    <row r="42">
      <c r="A42" s="4" t="n"/>
      <c r="B42" s="8" t="n"/>
      <c r="C42" s="4" t="n"/>
      <c r="D42" s="4" t="n"/>
      <c r="E42" s="4" t="n"/>
      <c r="F42" s="12" t="n"/>
      <c r="G42" s="4" t="n"/>
      <c r="H42" s="4" t="n"/>
      <c r="I42" s="4" t="n"/>
      <c r="J42" s="5" t="n"/>
      <c r="K42" s="5">
        <f>IF(J42="","",J42+4)</f>
        <v/>
      </c>
      <c r="L42" s="5">
        <f>IF(J42="","",J42+9)</f>
        <v/>
      </c>
      <c r="M42" s="5">
        <f>IF(J42="","",J42+16)</f>
        <v/>
      </c>
      <c r="N42" s="4">
        <f>IF(OR(I42="Contacted",I42="Terms sent"),IF(TODAY()&gt;=M42,"Close (step 3)",IF(TODAY()&gt;=L42,"Follow-up 2",IF(TODAY()&gt;=K42,"Follow-up 1",""))),IF(I42="Shortlisted",IF(G42="","Score it",""),""))</f>
        <v/>
      </c>
      <c r="O42" s="5" t="n"/>
      <c r="P42" s="4" t="n"/>
      <c r="Q42" s="4" t="n"/>
      <c r="R42" s="5" t="n"/>
      <c r="S42" s="4" t="n"/>
      <c r="T42" s="4" t="n"/>
      <c r="U42" s="13" t="n"/>
      <c r="V42" s="13" t="n"/>
      <c r="W42" s="13" t="n"/>
      <c r="X42" s="14" t="n"/>
      <c r="Y42" s="14" t="n"/>
      <c r="Z42" s="8" t="n"/>
    </row>
    <row r="43">
      <c r="A43" s="4" t="n"/>
      <c r="B43" s="8" t="n"/>
      <c r="C43" s="4" t="n"/>
      <c r="D43" s="4" t="n"/>
      <c r="E43" s="4" t="n"/>
      <c r="F43" s="12" t="n"/>
      <c r="G43" s="4" t="n"/>
      <c r="H43" s="4" t="n"/>
      <c r="I43" s="4" t="n"/>
      <c r="J43" s="5" t="n"/>
      <c r="K43" s="5">
        <f>IF(J43="","",J43+4)</f>
        <v/>
      </c>
      <c r="L43" s="5">
        <f>IF(J43="","",J43+9)</f>
        <v/>
      </c>
      <c r="M43" s="5">
        <f>IF(J43="","",J43+16)</f>
        <v/>
      </c>
      <c r="N43" s="4">
        <f>IF(OR(I43="Contacted",I43="Terms sent"),IF(TODAY()&gt;=M43,"Close (step 3)",IF(TODAY()&gt;=L43,"Follow-up 2",IF(TODAY()&gt;=K43,"Follow-up 1",""))),IF(I43="Shortlisted",IF(G43="","Score it",""),""))</f>
        <v/>
      </c>
      <c r="O43" s="5" t="n"/>
      <c r="P43" s="4" t="n"/>
      <c r="Q43" s="4" t="n"/>
      <c r="R43" s="5" t="n"/>
      <c r="S43" s="4" t="n"/>
      <c r="T43" s="4" t="n"/>
      <c r="U43" s="13" t="n"/>
      <c r="V43" s="13" t="n"/>
      <c r="W43" s="13" t="n"/>
      <c r="X43" s="14" t="n"/>
      <c r="Y43" s="14" t="n"/>
      <c r="Z43" s="8" t="n"/>
    </row>
    <row r="44">
      <c r="A44" s="4" t="n"/>
      <c r="B44" s="8" t="n"/>
      <c r="C44" s="4" t="n"/>
      <c r="D44" s="4" t="n"/>
      <c r="E44" s="4" t="n"/>
      <c r="F44" s="12" t="n"/>
      <c r="G44" s="4" t="n"/>
      <c r="H44" s="4" t="n"/>
      <c r="I44" s="4" t="n"/>
      <c r="J44" s="5" t="n"/>
      <c r="K44" s="5">
        <f>IF(J44="","",J44+4)</f>
        <v/>
      </c>
      <c r="L44" s="5">
        <f>IF(J44="","",J44+9)</f>
        <v/>
      </c>
      <c r="M44" s="5">
        <f>IF(J44="","",J44+16)</f>
        <v/>
      </c>
      <c r="N44" s="4">
        <f>IF(OR(I44="Contacted",I44="Terms sent"),IF(TODAY()&gt;=M44,"Close (step 3)",IF(TODAY()&gt;=L44,"Follow-up 2",IF(TODAY()&gt;=K44,"Follow-up 1",""))),IF(I44="Shortlisted",IF(G44="","Score it",""),""))</f>
        <v/>
      </c>
      <c r="O44" s="5" t="n"/>
      <c r="P44" s="4" t="n"/>
      <c r="Q44" s="4" t="n"/>
      <c r="R44" s="5" t="n"/>
      <c r="S44" s="4" t="n"/>
      <c r="T44" s="4" t="n"/>
      <c r="U44" s="13" t="n"/>
      <c r="V44" s="13" t="n"/>
      <c r="W44" s="13" t="n"/>
      <c r="X44" s="14" t="n"/>
      <c r="Y44" s="14" t="n"/>
      <c r="Z44" s="8" t="n"/>
    </row>
    <row r="45">
      <c r="A45" s="4" t="n"/>
      <c r="B45" s="8" t="n"/>
      <c r="C45" s="4" t="n"/>
      <c r="D45" s="4" t="n"/>
      <c r="E45" s="4" t="n"/>
      <c r="F45" s="12" t="n"/>
      <c r="G45" s="4" t="n"/>
      <c r="H45" s="4" t="n"/>
      <c r="I45" s="4" t="n"/>
      <c r="J45" s="5" t="n"/>
      <c r="K45" s="5">
        <f>IF(J45="","",J45+4)</f>
        <v/>
      </c>
      <c r="L45" s="5">
        <f>IF(J45="","",J45+9)</f>
        <v/>
      </c>
      <c r="M45" s="5">
        <f>IF(J45="","",J45+16)</f>
        <v/>
      </c>
      <c r="N45" s="4">
        <f>IF(OR(I45="Contacted",I45="Terms sent"),IF(TODAY()&gt;=M45,"Close (step 3)",IF(TODAY()&gt;=L45,"Follow-up 2",IF(TODAY()&gt;=K45,"Follow-up 1",""))),IF(I45="Shortlisted",IF(G45="","Score it",""),""))</f>
        <v/>
      </c>
      <c r="O45" s="5" t="n"/>
      <c r="P45" s="4" t="n"/>
      <c r="Q45" s="4" t="n"/>
      <c r="R45" s="5" t="n"/>
      <c r="S45" s="4" t="n"/>
      <c r="T45" s="4" t="n"/>
      <c r="U45" s="13" t="n"/>
      <c r="V45" s="13" t="n"/>
      <c r="W45" s="13" t="n"/>
      <c r="X45" s="14" t="n"/>
      <c r="Y45" s="14" t="n"/>
      <c r="Z45" s="8" t="n"/>
    </row>
    <row r="46">
      <c r="A46" s="4" t="n"/>
      <c r="B46" s="8" t="n"/>
      <c r="C46" s="4" t="n"/>
      <c r="D46" s="4" t="n"/>
      <c r="E46" s="4" t="n"/>
      <c r="F46" s="12" t="n"/>
      <c r="G46" s="4" t="n"/>
      <c r="H46" s="4" t="n"/>
      <c r="I46" s="4" t="n"/>
      <c r="J46" s="5" t="n"/>
      <c r="K46" s="5">
        <f>IF(J46="","",J46+4)</f>
        <v/>
      </c>
      <c r="L46" s="5">
        <f>IF(J46="","",J46+9)</f>
        <v/>
      </c>
      <c r="M46" s="5">
        <f>IF(J46="","",J46+16)</f>
        <v/>
      </c>
      <c r="N46" s="4">
        <f>IF(OR(I46="Contacted",I46="Terms sent"),IF(TODAY()&gt;=M46,"Close (step 3)",IF(TODAY()&gt;=L46,"Follow-up 2",IF(TODAY()&gt;=K46,"Follow-up 1",""))),IF(I46="Shortlisted",IF(G46="","Score it",""),""))</f>
        <v/>
      </c>
      <c r="O46" s="5" t="n"/>
      <c r="P46" s="4" t="n"/>
      <c r="Q46" s="4" t="n"/>
      <c r="R46" s="5" t="n"/>
      <c r="S46" s="4" t="n"/>
      <c r="T46" s="4" t="n"/>
      <c r="U46" s="13" t="n"/>
      <c r="V46" s="13" t="n"/>
      <c r="W46" s="13" t="n"/>
      <c r="X46" s="14" t="n"/>
      <c r="Y46" s="14" t="n"/>
      <c r="Z46" s="8" t="n"/>
    </row>
    <row r="47">
      <c r="A47" s="4" t="n"/>
      <c r="B47" s="8" t="n"/>
      <c r="C47" s="4" t="n"/>
      <c r="D47" s="4" t="n"/>
      <c r="E47" s="4" t="n"/>
      <c r="F47" s="12" t="n"/>
      <c r="G47" s="4" t="n"/>
      <c r="H47" s="4" t="n"/>
      <c r="I47" s="4" t="n"/>
      <c r="J47" s="5" t="n"/>
      <c r="K47" s="5">
        <f>IF(J47="","",J47+4)</f>
        <v/>
      </c>
      <c r="L47" s="5">
        <f>IF(J47="","",J47+9)</f>
        <v/>
      </c>
      <c r="M47" s="5">
        <f>IF(J47="","",J47+16)</f>
        <v/>
      </c>
      <c r="N47" s="4">
        <f>IF(OR(I47="Contacted",I47="Terms sent"),IF(TODAY()&gt;=M47,"Close (step 3)",IF(TODAY()&gt;=L47,"Follow-up 2",IF(TODAY()&gt;=K47,"Follow-up 1",""))),IF(I47="Shortlisted",IF(G47="","Score it",""),""))</f>
        <v/>
      </c>
      <c r="O47" s="5" t="n"/>
      <c r="P47" s="4" t="n"/>
      <c r="Q47" s="4" t="n"/>
      <c r="R47" s="5" t="n"/>
      <c r="S47" s="4" t="n"/>
      <c r="T47" s="4" t="n"/>
      <c r="U47" s="13" t="n"/>
      <c r="V47" s="13" t="n"/>
      <c r="W47" s="13" t="n"/>
      <c r="X47" s="14" t="n"/>
      <c r="Y47" s="14" t="n"/>
      <c r="Z47" s="8" t="n"/>
    </row>
    <row r="48">
      <c r="A48" s="4" t="n"/>
      <c r="B48" s="8" t="n"/>
      <c r="C48" s="4" t="n"/>
      <c r="D48" s="4" t="n"/>
      <c r="E48" s="4" t="n"/>
      <c r="F48" s="12" t="n"/>
      <c r="G48" s="4" t="n"/>
      <c r="H48" s="4" t="n"/>
      <c r="I48" s="4" t="n"/>
      <c r="J48" s="5" t="n"/>
      <c r="K48" s="5">
        <f>IF(J48="","",J48+4)</f>
        <v/>
      </c>
      <c r="L48" s="5">
        <f>IF(J48="","",J48+9)</f>
        <v/>
      </c>
      <c r="M48" s="5">
        <f>IF(J48="","",J48+16)</f>
        <v/>
      </c>
      <c r="N48" s="4">
        <f>IF(OR(I48="Contacted",I48="Terms sent"),IF(TODAY()&gt;=M48,"Close (step 3)",IF(TODAY()&gt;=L48,"Follow-up 2",IF(TODAY()&gt;=K48,"Follow-up 1",""))),IF(I48="Shortlisted",IF(G48="","Score it",""),""))</f>
        <v/>
      </c>
      <c r="O48" s="5" t="n"/>
      <c r="P48" s="4" t="n"/>
      <c r="Q48" s="4" t="n"/>
      <c r="R48" s="5" t="n"/>
      <c r="S48" s="4" t="n"/>
      <c r="T48" s="4" t="n"/>
      <c r="U48" s="13" t="n"/>
      <c r="V48" s="13" t="n"/>
      <c r="W48" s="13" t="n"/>
      <c r="X48" s="14" t="n"/>
      <c r="Y48" s="14" t="n"/>
      <c r="Z48" s="8" t="n"/>
    </row>
    <row r="49">
      <c r="A49" s="4" t="n"/>
      <c r="B49" s="8" t="n"/>
      <c r="C49" s="4" t="n"/>
      <c r="D49" s="4" t="n"/>
      <c r="E49" s="4" t="n"/>
      <c r="F49" s="12" t="n"/>
      <c r="G49" s="4" t="n"/>
      <c r="H49" s="4" t="n"/>
      <c r="I49" s="4" t="n"/>
      <c r="J49" s="5" t="n"/>
      <c r="K49" s="5">
        <f>IF(J49="","",J49+4)</f>
        <v/>
      </c>
      <c r="L49" s="5">
        <f>IF(J49="","",J49+9)</f>
        <v/>
      </c>
      <c r="M49" s="5">
        <f>IF(J49="","",J49+16)</f>
        <v/>
      </c>
      <c r="N49" s="4">
        <f>IF(OR(I49="Contacted",I49="Terms sent"),IF(TODAY()&gt;=M49,"Close (step 3)",IF(TODAY()&gt;=L49,"Follow-up 2",IF(TODAY()&gt;=K49,"Follow-up 1",""))),IF(I49="Shortlisted",IF(G49="","Score it",""),""))</f>
        <v/>
      </c>
      <c r="O49" s="5" t="n"/>
      <c r="P49" s="4" t="n"/>
      <c r="Q49" s="4" t="n"/>
      <c r="R49" s="5" t="n"/>
      <c r="S49" s="4" t="n"/>
      <c r="T49" s="4" t="n"/>
      <c r="U49" s="13" t="n"/>
      <c r="V49" s="13" t="n"/>
      <c r="W49" s="13" t="n"/>
      <c r="X49" s="14" t="n"/>
      <c r="Y49" s="14" t="n"/>
      <c r="Z49" s="8" t="n"/>
    </row>
    <row r="50">
      <c r="A50" s="4" t="n"/>
      <c r="B50" s="8" t="n"/>
      <c r="C50" s="4" t="n"/>
      <c r="D50" s="4" t="n"/>
      <c r="E50" s="4" t="n"/>
      <c r="F50" s="12" t="n"/>
      <c r="G50" s="4" t="n"/>
      <c r="H50" s="4" t="n"/>
      <c r="I50" s="4" t="n"/>
      <c r="J50" s="5" t="n"/>
      <c r="K50" s="5">
        <f>IF(J50="","",J50+4)</f>
        <v/>
      </c>
      <c r="L50" s="5">
        <f>IF(J50="","",J50+9)</f>
        <v/>
      </c>
      <c r="M50" s="5">
        <f>IF(J50="","",J50+16)</f>
        <v/>
      </c>
      <c r="N50" s="4">
        <f>IF(OR(I50="Contacted",I50="Terms sent"),IF(TODAY()&gt;=M50,"Close (step 3)",IF(TODAY()&gt;=L50,"Follow-up 2",IF(TODAY()&gt;=K50,"Follow-up 1",""))),IF(I50="Shortlisted",IF(G50="","Score it",""),""))</f>
        <v/>
      </c>
      <c r="O50" s="5" t="n"/>
      <c r="P50" s="4" t="n"/>
      <c r="Q50" s="4" t="n"/>
      <c r="R50" s="5" t="n"/>
      <c r="S50" s="4" t="n"/>
      <c r="T50" s="4" t="n"/>
      <c r="U50" s="13" t="n"/>
      <c r="V50" s="13" t="n"/>
      <c r="W50" s="13" t="n"/>
      <c r="X50" s="14" t="n"/>
      <c r="Y50" s="14" t="n"/>
      <c r="Z50" s="8" t="n"/>
    </row>
    <row r="51">
      <c r="A51" s="4" t="n"/>
      <c r="B51" s="8" t="n"/>
      <c r="C51" s="4" t="n"/>
      <c r="D51" s="4" t="n"/>
      <c r="E51" s="4" t="n"/>
      <c r="F51" s="12" t="n"/>
      <c r="G51" s="4" t="n"/>
      <c r="H51" s="4" t="n"/>
      <c r="I51" s="4" t="n"/>
      <c r="J51" s="5" t="n"/>
      <c r="K51" s="5">
        <f>IF(J51="","",J51+4)</f>
        <v/>
      </c>
      <c r="L51" s="5">
        <f>IF(J51="","",J51+9)</f>
        <v/>
      </c>
      <c r="M51" s="5">
        <f>IF(J51="","",J51+16)</f>
        <v/>
      </c>
      <c r="N51" s="4">
        <f>IF(OR(I51="Contacted",I51="Terms sent"),IF(TODAY()&gt;=M51,"Close (step 3)",IF(TODAY()&gt;=L51,"Follow-up 2",IF(TODAY()&gt;=K51,"Follow-up 1",""))),IF(I51="Shortlisted",IF(G51="","Score it",""),""))</f>
        <v/>
      </c>
      <c r="O51" s="5" t="n"/>
      <c r="P51" s="4" t="n"/>
      <c r="Q51" s="4" t="n"/>
      <c r="R51" s="5" t="n"/>
      <c r="S51" s="4" t="n"/>
      <c r="T51" s="4" t="n"/>
      <c r="U51" s="13" t="n"/>
      <c r="V51" s="13" t="n"/>
      <c r="W51" s="13" t="n"/>
      <c r="X51" s="14" t="n"/>
      <c r="Y51" s="14" t="n"/>
      <c r="Z51" s="8" t="n"/>
    </row>
    <row r="52">
      <c r="A52" s="4" t="n"/>
      <c r="B52" s="8" t="n"/>
      <c r="C52" s="4" t="n"/>
      <c r="D52" s="4" t="n"/>
      <c r="E52" s="4" t="n"/>
      <c r="F52" s="12" t="n"/>
      <c r="G52" s="4" t="n"/>
      <c r="H52" s="4" t="n"/>
      <c r="I52" s="4" t="n"/>
      <c r="J52" s="5" t="n"/>
      <c r="K52" s="5">
        <f>IF(J52="","",J52+4)</f>
        <v/>
      </c>
      <c r="L52" s="5">
        <f>IF(J52="","",J52+9)</f>
        <v/>
      </c>
      <c r="M52" s="5">
        <f>IF(J52="","",J52+16)</f>
        <v/>
      </c>
      <c r="N52" s="4">
        <f>IF(OR(I52="Contacted",I52="Terms sent"),IF(TODAY()&gt;=M52,"Close (step 3)",IF(TODAY()&gt;=L52,"Follow-up 2",IF(TODAY()&gt;=K52,"Follow-up 1",""))),IF(I52="Shortlisted",IF(G52="","Score it",""),""))</f>
        <v/>
      </c>
      <c r="O52" s="5" t="n"/>
      <c r="P52" s="4" t="n"/>
      <c r="Q52" s="4" t="n"/>
      <c r="R52" s="5" t="n"/>
      <c r="S52" s="4" t="n"/>
      <c r="T52" s="4" t="n"/>
      <c r="U52" s="13" t="n"/>
      <c r="V52" s="13" t="n"/>
      <c r="W52" s="13" t="n"/>
      <c r="X52" s="14" t="n"/>
      <c r="Y52" s="14" t="n"/>
      <c r="Z52" s="8" t="n"/>
    </row>
    <row r="53">
      <c r="A53" s="4" t="n"/>
      <c r="B53" s="8" t="n"/>
      <c r="C53" s="4" t="n"/>
      <c r="D53" s="4" t="n"/>
      <c r="E53" s="4" t="n"/>
      <c r="F53" s="12" t="n"/>
      <c r="G53" s="4" t="n"/>
      <c r="H53" s="4" t="n"/>
      <c r="I53" s="4" t="n"/>
      <c r="J53" s="5" t="n"/>
      <c r="K53" s="5">
        <f>IF(J53="","",J53+4)</f>
        <v/>
      </c>
      <c r="L53" s="5">
        <f>IF(J53="","",J53+9)</f>
        <v/>
      </c>
      <c r="M53" s="5">
        <f>IF(J53="","",J53+16)</f>
        <v/>
      </c>
      <c r="N53" s="4">
        <f>IF(OR(I53="Contacted",I53="Terms sent"),IF(TODAY()&gt;=M53,"Close (step 3)",IF(TODAY()&gt;=L53,"Follow-up 2",IF(TODAY()&gt;=K53,"Follow-up 1",""))),IF(I53="Shortlisted",IF(G53="","Score it",""),""))</f>
        <v/>
      </c>
      <c r="O53" s="5" t="n"/>
      <c r="P53" s="4" t="n"/>
      <c r="Q53" s="4" t="n"/>
      <c r="R53" s="5" t="n"/>
      <c r="S53" s="4" t="n"/>
      <c r="T53" s="4" t="n"/>
      <c r="U53" s="13" t="n"/>
      <c r="V53" s="13" t="n"/>
      <c r="W53" s="13" t="n"/>
      <c r="X53" s="14" t="n"/>
      <c r="Y53" s="14" t="n"/>
      <c r="Z53" s="8" t="n"/>
    </row>
    <row r="54">
      <c r="A54" s="4" t="n"/>
      <c r="B54" s="8" t="n"/>
      <c r="C54" s="4" t="n"/>
      <c r="D54" s="4" t="n"/>
      <c r="E54" s="4" t="n"/>
      <c r="F54" s="12" t="n"/>
      <c r="G54" s="4" t="n"/>
      <c r="H54" s="4" t="n"/>
      <c r="I54" s="4" t="n"/>
      <c r="J54" s="5" t="n"/>
      <c r="K54" s="5">
        <f>IF(J54="","",J54+4)</f>
        <v/>
      </c>
      <c r="L54" s="5">
        <f>IF(J54="","",J54+9)</f>
        <v/>
      </c>
      <c r="M54" s="5">
        <f>IF(J54="","",J54+16)</f>
        <v/>
      </c>
      <c r="N54" s="4">
        <f>IF(OR(I54="Contacted",I54="Terms sent"),IF(TODAY()&gt;=M54,"Close (step 3)",IF(TODAY()&gt;=L54,"Follow-up 2",IF(TODAY()&gt;=K54,"Follow-up 1",""))),IF(I54="Shortlisted",IF(G54="","Score it",""),""))</f>
        <v/>
      </c>
      <c r="O54" s="5" t="n"/>
      <c r="P54" s="4" t="n"/>
      <c r="Q54" s="4" t="n"/>
      <c r="R54" s="5" t="n"/>
      <c r="S54" s="4" t="n"/>
      <c r="T54" s="4" t="n"/>
      <c r="U54" s="13" t="n"/>
      <c r="V54" s="13" t="n"/>
      <c r="W54" s="13" t="n"/>
      <c r="X54" s="14" t="n"/>
      <c r="Y54" s="14" t="n"/>
      <c r="Z54" s="8" t="n"/>
    </row>
    <row r="55">
      <c r="A55" s="4" t="n"/>
      <c r="B55" s="8" t="n"/>
      <c r="C55" s="4" t="n"/>
      <c r="D55" s="4" t="n"/>
      <c r="E55" s="4" t="n"/>
      <c r="F55" s="12" t="n"/>
      <c r="G55" s="4" t="n"/>
      <c r="H55" s="4" t="n"/>
      <c r="I55" s="4" t="n"/>
      <c r="J55" s="5" t="n"/>
      <c r="K55" s="5">
        <f>IF(J55="","",J55+4)</f>
        <v/>
      </c>
      <c r="L55" s="5">
        <f>IF(J55="","",J55+9)</f>
        <v/>
      </c>
      <c r="M55" s="5">
        <f>IF(J55="","",J55+16)</f>
        <v/>
      </c>
      <c r="N55" s="4">
        <f>IF(OR(I55="Contacted",I55="Terms sent"),IF(TODAY()&gt;=M55,"Close (step 3)",IF(TODAY()&gt;=L55,"Follow-up 2",IF(TODAY()&gt;=K55,"Follow-up 1",""))),IF(I55="Shortlisted",IF(G55="","Score it",""),""))</f>
        <v/>
      </c>
      <c r="O55" s="5" t="n"/>
      <c r="P55" s="4" t="n"/>
      <c r="Q55" s="4" t="n"/>
      <c r="R55" s="5" t="n"/>
      <c r="S55" s="4" t="n"/>
      <c r="T55" s="4" t="n"/>
      <c r="U55" s="13" t="n"/>
      <c r="V55" s="13" t="n"/>
      <c r="W55" s="13" t="n"/>
      <c r="X55" s="14" t="n"/>
      <c r="Y55" s="14" t="n"/>
      <c r="Z55" s="8" t="n"/>
    </row>
    <row r="56">
      <c r="A56" s="4" t="n"/>
      <c r="B56" s="8" t="n"/>
      <c r="C56" s="4" t="n"/>
      <c r="D56" s="4" t="n"/>
      <c r="E56" s="4" t="n"/>
      <c r="F56" s="12" t="n"/>
      <c r="G56" s="4" t="n"/>
      <c r="H56" s="4" t="n"/>
      <c r="I56" s="4" t="n"/>
      <c r="J56" s="5" t="n"/>
      <c r="K56" s="5">
        <f>IF(J56="","",J56+4)</f>
        <v/>
      </c>
      <c r="L56" s="5">
        <f>IF(J56="","",J56+9)</f>
        <v/>
      </c>
      <c r="M56" s="5">
        <f>IF(J56="","",J56+16)</f>
        <v/>
      </c>
      <c r="N56" s="4">
        <f>IF(OR(I56="Contacted",I56="Terms sent"),IF(TODAY()&gt;=M56,"Close (step 3)",IF(TODAY()&gt;=L56,"Follow-up 2",IF(TODAY()&gt;=K56,"Follow-up 1",""))),IF(I56="Shortlisted",IF(G56="","Score it",""),""))</f>
        <v/>
      </c>
      <c r="O56" s="5" t="n"/>
      <c r="P56" s="4" t="n"/>
      <c r="Q56" s="4" t="n"/>
      <c r="R56" s="5" t="n"/>
      <c r="S56" s="4" t="n"/>
      <c r="T56" s="4" t="n"/>
      <c r="U56" s="13" t="n"/>
      <c r="V56" s="13" t="n"/>
      <c r="W56" s="13" t="n"/>
      <c r="X56" s="14" t="n"/>
      <c r="Y56" s="14" t="n"/>
      <c r="Z56" s="8" t="n"/>
    </row>
    <row r="57">
      <c r="A57" s="4" t="n"/>
      <c r="B57" s="8" t="n"/>
      <c r="C57" s="4" t="n"/>
      <c r="D57" s="4" t="n"/>
      <c r="E57" s="4" t="n"/>
      <c r="F57" s="12" t="n"/>
      <c r="G57" s="4" t="n"/>
      <c r="H57" s="4" t="n"/>
      <c r="I57" s="4" t="n"/>
      <c r="J57" s="5" t="n"/>
      <c r="K57" s="5">
        <f>IF(J57="","",J57+4)</f>
        <v/>
      </c>
      <c r="L57" s="5">
        <f>IF(J57="","",J57+9)</f>
        <v/>
      </c>
      <c r="M57" s="5">
        <f>IF(J57="","",J57+16)</f>
        <v/>
      </c>
      <c r="N57" s="4">
        <f>IF(OR(I57="Contacted",I57="Terms sent"),IF(TODAY()&gt;=M57,"Close (step 3)",IF(TODAY()&gt;=L57,"Follow-up 2",IF(TODAY()&gt;=K57,"Follow-up 1",""))),IF(I57="Shortlisted",IF(G57="","Score it",""),""))</f>
        <v/>
      </c>
      <c r="O57" s="5" t="n"/>
      <c r="P57" s="4" t="n"/>
      <c r="Q57" s="4" t="n"/>
      <c r="R57" s="5" t="n"/>
      <c r="S57" s="4" t="n"/>
      <c r="T57" s="4" t="n"/>
      <c r="U57" s="13" t="n"/>
      <c r="V57" s="13" t="n"/>
      <c r="W57" s="13" t="n"/>
      <c r="X57" s="14" t="n"/>
      <c r="Y57" s="14" t="n"/>
      <c r="Z57" s="8" t="n"/>
    </row>
    <row r="58">
      <c r="A58" s="4" t="n"/>
      <c r="B58" s="8" t="n"/>
      <c r="C58" s="4" t="n"/>
      <c r="D58" s="4" t="n"/>
      <c r="E58" s="4" t="n"/>
      <c r="F58" s="12" t="n"/>
      <c r="G58" s="4" t="n"/>
      <c r="H58" s="4" t="n"/>
      <c r="I58" s="4" t="n"/>
      <c r="J58" s="5" t="n"/>
      <c r="K58" s="5">
        <f>IF(J58="","",J58+4)</f>
        <v/>
      </c>
      <c r="L58" s="5">
        <f>IF(J58="","",J58+9)</f>
        <v/>
      </c>
      <c r="M58" s="5">
        <f>IF(J58="","",J58+16)</f>
        <v/>
      </c>
      <c r="N58" s="4">
        <f>IF(OR(I58="Contacted",I58="Terms sent"),IF(TODAY()&gt;=M58,"Close (step 3)",IF(TODAY()&gt;=L58,"Follow-up 2",IF(TODAY()&gt;=K58,"Follow-up 1",""))),IF(I58="Shortlisted",IF(G58="","Score it",""),""))</f>
        <v/>
      </c>
      <c r="O58" s="5" t="n"/>
      <c r="P58" s="4" t="n"/>
      <c r="Q58" s="4" t="n"/>
      <c r="R58" s="5" t="n"/>
      <c r="S58" s="4" t="n"/>
      <c r="T58" s="4" t="n"/>
      <c r="U58" s="13" t="n"/>
      <c r="V58" s="13" t="n"/>
      <c r="W58" s="13" t="n"/>
      <c r="X58" s="14" t="n"/>
      <c r="Y58" s="14" t="n"/>
      <c r="Z58" s="8" t="n"/>
    </row>
    <row r="59">
      <c r="A59" s="4" t="n"/>
      <c r="B59" s="8" t="n"/>
      <c r="C59" s="4" t="n"/>
      <c r="D59" s="4" t="n"/>
      <c r="E59" s="4" t="n"/>
      <c r="F59" s="12" t="n"/>
      <c r="G59" s="4" t="n"/>
      <c r="H59" s="4" t="n"/>
      <c r="I59" s="4" t="n"/>
      <c r="J59" s="5" t="n"/>
      <c r="K59" s="5">
        <f>IF(J59="","",J59+4)</f>
        <v/>
      </c>
      <c r="L59" s="5">
        <f>IF(J59="","",J59+9)</f>
        <v/>
      </c>
      <c r="M59" s="5">
        <f>IF(J59="","",J59+16)</f>
        <v/>
      </c>
      <c r="N59" s="4">
        <f>IF(OR(I59="Contacted",I59="Terms sent"),IF(TODAY()&gt;=M59,"Close (step 3)",IF(TODAY()&gt;=L59,"Follow-up 2",IF(TODAY()&gt;=K59,"Follow-up 1",""))),IF(I59="Shortlisted",IF(G59="","Score it",""),""))</f>
        <v/>
      </c>
      <c r="O59" s="5" t="n"/>
      <c r="P59" s="4" t="n"/>
      <c r="Q59" s="4" t="n"/>
      <c r="R59" s="5" t="n"/>
      <c r="S59" s="4" t="n"/>
      <c r="T59" s="4" t="n"/>
      <c r="U59" s="13" t="n"/>
      <c r="V59" s="13" t="n"/>
      <c r="W59" s="13" t="n"/>
      <c r="X59" s="14" t="n"/>
      <c r="Y59" s="14" t="n"/>
      <c r="Z59" s="8" t="n"/>
    </row>
    <row r="60">
      <c r="A60" s="4" t="n"/>
      <c r="B60" s="8" t="n"/>
      <c r="C60" s="4" t="n"/>
      <c r="D60" s="4" t="n"/>
      <c r="E60" s="4" t="n"/>
      <c r="F60" s="12" t="n"/>
      <c r="G60" s="4" t="n"/>
      <c r="H60" s="4" t="n"/>
      <c r="I60" s="4" t="n"/>
      <c r="J60" s="5" t="n"/>
      <c r="K60" s="5">
        <f>IF(J60="","",J60+4)</f>
        <v/>
      </c>
      <c r="L60" s="5">
        <f>IF(J60="","",J60+9)</f>
        <v/>
      </c>
      <c r="M60" s="5">
        <f>IF(J60="","",J60+16)</f>
        <v/>
      </c>
      <c r="N60" s="4">
        <f>IF(OR(I60="Contacted",I60="Terms sent"),IF(TODAY()&gt;=M60,"Close (step 3)",IF(TODAY()&gt;=L60,"Follow-up 2",IF(TODAY()&gt;=K60,"Follow-up 1",""))),IF(I60="Shortlisted",IF(G60="","Score it",""),""))</f>
        <v/>
      </c>
      <c r="O60" s="5" t="n"/>
      <c r="P60" s="4" t="n"/>
      <c r="Q60" s="4" t="n"/>
      <c r="R60" s="5" t="n"/>
      <c r="S60" s="4" t="n"/>
      <c r="T60" s="4" t="n"/>
      <c r="U60" s="13" t="n"/>
      <c r="V60" s="13" t="n"/>
      <c r="W60" s="13" t="n"/>
      <c r="X60" s="14" t="n"/>
      <c r="Y60" s="14" t="n"/>
      <c r="Z60" s="8" t="n"/>
    </row>
    <row r="61">
      <c r="A61" s="4" t="n"/>
      <c r="B61" s="8" t="n"/>
      <c r="C61" s="4" t="n"/>
      <c r="D61" s="4" t="n"/>
      <c r="E61" s="4" t="n"/>
      <c r="F61" s="12" t="n"/>
      <c r="G61" s="4" t="n"/>
      <c r="H61" s="4" t="n"/>
      <c r="I61" s="4" t="n"/>
      <c r="J61" s="5" t="n"/>
      <c r="K61" s="5">
        <f>IF(J61="","",J61+4)</f>
        <v/>
      </c>
      <c r="L61" s="5">
        <f>IF(J61="","",J61+9)</f>
        <v/>
      </c>
      <c r="M61" s="5">
        <f>IF(J61="","",J61+16)</f>
        <v/>
      </c>
      <c r="N61" s="4">
        <f>IF(OR(I61="Contacted",I61="Terms sent"),IF(TODAY()&gt;=M61,"Close (step 3)",IF(TODAY()&gt;=L61,"Follow-up 2",IF(TODAY()&gt;=K61,"Follow-up 1",""))),IF(I61="Shortlisted",IF(G61="","Score it",""),""))</f>
        <v/>
      </c>
      <c r="O61" s="5" t="n"/>
      <c r="P61" s="4" t="n"/>
      <c r="Q61" s="4" t="n"/>
      <c r="R61" s="5" t="n"/>
      <c r="S61" s="4" t="n"/>
      <c r="T61" s="4" t="n"/>
      <c r="U61" s="13" t="n"/>
      <c r="V61" s="13" t="n"/>
      <c r="W61" s="13" t="n"/>
      <c r="X61" s="14" t="n"/>
      <c r="Y61" s="14" t="n"/>
      <c r="Z61" s="8" t="n"/>
    </row>
    <row r="62">
      <c r="A62" s="4" t="n"/>
      <c r="B62" s="8" t="n"/>
      <c r="C62" s="4" t="n"/>
      <c r="D62" s="4" t="n"/>
      <c r="E62" s="4" t="n"/>
      <c r="F62" s="12" t="n"/>
      <c r="G62" s="4" t="n"/>
      <c r="H62" s="4" t="n"/>
      <c r="I62" s="4" t="n"/>
      <c r="J62" s="5" t="n"/>
      <c r="K62" s="5">
        <f>IF(J62="","",J62+4)</f>
        <v/>
      </c>
      <c r="L62" s="5">
        <f>IF(J62="","",J62+9)</f>
        <v/>
      </c>
      <c r="M62" s="5">
        <f>IF(J62="","",J62+16)</f>
        <v/>
      </c>
      <c r="N62" s="4">
        <f>IF(OR(I62="Contacted",I62="Terms sent"),IF(TODAY()&gt;=M62,"Close (step 3)",IF(TODAY()&gt;=L62,"Follow-up 2",IF(TODAY()&gt;=K62,"Follow-up 1",""))),IF(I62="Shortlisted",IF(G62="","Score it",""),""))</f>
        <v/>
      </c>
      <c r="O62" s="5" t="n"/>
      <c r="P62" s="4" t="n"/>
      <c r="Q62" s="4" t="n"/>
      <c r="R62" s="5" t="n"/>
      <c r="S62" s="4" t="n"/>
      <c r="T62" s="4" t="n"/>
      <c r="U62" s="13" t="n"/>
      <c r="V62" s="13" t="n"/>
      <c r="W62" s="13" t="n"/>
      <c r="X62" s="14" t="n"/>
      <c r="Y62" s="14" t="n"/>
      <c r="Z62" s="8" t="n"/>
    </row>
    <row r="63">
      <c r="A63" s="4" t="n"/>
      <c r="B63" s="8" t="n"/>
      <c r="C63" s="4" t="n"/>
      <c r="D63" s="4" t="n"/>
      <c r="E63" s="4" t="n"/>
      <c r="F63" s="12" t="n"/>
      <c r="G63" s="4" t="n"/>
      <c r="H63" s="4" t="n"/>
      <c r="I63" s="4" t="n"/>
      <c r="J63" s="5" t="n"/>
      <c r="K63" s="5">
        <f>IF(J63="","",J63+4)</f>
        <v/>
      </c>
      <c r="L63" s="5">
        <f>IF(J63="","",J63+9)</f>
        <v/>
      </c>
      <c r="M63" s="5">
        <f>IF(J63="","",J63+16)</f>
        <v/>
      </c>
      <c r="N63" s="4">
        <f>IF(OR(I63="Contacted",I63="Terms sent"),IF(TODAY()&gt;=M63,"Close (step 3)",IF(TODAY()&gt;=L63,"Follow-up 2",IF(TODAY()&gt;=K63,"Follow-up 1",""))),IF(I63="Shortlisted",IF(G63="","Score it",""),""))</f>
        <v/>
      </c>
      <c r="O63" s="5" t="n"/>
      <c r="P63" s="4" t="n"/>
      <c r="Q63" s="4" t="n"/>
      <c r="R63" s="5" t="n"/>
      <c r="S63" s="4" t="n"/>
      <c r="T63" s="4" t="n"/>
      <c r="U63" s="13" t="n"/>
      <c r="V63" s="13" t="n"/>
      <c r="W63" s="13" t="n"/>
      <c r="X63" s="14" t="n"/>
      <c r="Y63" s="14" t="n"/>
      <c r="Z63" s="8" t="n"/>
    </row>
    <row r="64">
      <c r="A64" s="4" t="n"/>
      <c r="B64" s="8" t="n"/>
      <c r="C64" s="4" t="n"/>
      <c r="D64" s="4" t="n"/>
      <c r="E64" s="4" t="n"/>
      <c r="F64" s="12" t="n"/>
      <c r="G64" s="4" t="n"/>
      <c r="H64" s="4" t="n"/>
      <c r="I64" s="4" t="n"/>
      <c r="J64" s="5" t="n"/>
      <c r="K64" s="5">
        <f>IF(J64="","",J64+4)</f>
        <v/>
      </c>
      <c r="L64" s="5">
        <f>IF(J64="","",J64+9)</f>
        <v/>
      </c>
      <c r="M64" s="5">
        <f>IF(J64="","",J64+16)</f>
        <v/>
      </c>
      <c r="N64" s="4">
        <f>IF(OR(I64="Contacted",I64="Terms sent"),IF(TODAY()&gt;=M64,"Close (step 3)",IF(TODAY()&gt;=L64,"Follow-up 2",IF(TODAY()&gt;=K64,"Follow-up 1",""))),IF(I64="Shortlisted",IF(G64="","Score it",""),""))</f>
        <v/>
      </c>
      <c r="O64" s="5" t="n"/>
      <c r="P64" s="4" t="n"/>
      <c r="Q64" s="4" t="n"/>
      <c r="R64" s="5" t="n"/>
      <c r="S64" s="4" t="n"/>
      <c r="T64" s="4" t="n"/>
      <c r="U64" s="13" t="n"/>
      <c r="V64" s="13" t="n"/>
      <c r="W64" s="13" t="n"/>
      <c r="X64" s="14" t="n"/>
      <c r="Y64" s="14" t="n"/>
      <c r="Z64" s="8" t="n"/>
    </row>
    <row r="65">
      <c r="A65" s="4" t="n"/>
      <c r="B65" s="8" t="n"/>
      <c r="C65" s="4" t="n"/>
      <c r="D65" s="4" t="n"/>
      <c r="E65" s="4" t="n"/>
      <c r="F65" s="12" t="n"/>
      <c r="G65" s="4" t="n"/>
      <c r="H65" s="4" t="n"/>
      <c r="I65" s="4" t="n"/>
      <c r="J65" s="5" t="n"/>
      <c r="K65" s="5">
        <f>IF(J65="","",J65+4)</f>
        <v/>
      </c>
      <c r="L65" s="5">
        <f>IF(J65="","",J65+9)</f>
        <v/>
      </c>
      <c r="M65" s="5">
        <f>IF(J65="","",J65+16)</f>
        <v/>
      </c>
      <c r="N65" s="4">
        <f>IF(OR(I65="Contacted",I65="Terms sent"),IF(TODAY()&gt;=M65,"Close (step 3)",IF(TODAY()&gt;=L65,"Follow-up 2",IF(TODAY()&gt;=K65,"Follow-up 1",""))),IF(I65="Shortlisted",IF(G65="","Score it",""),""))</f>
        <v/>
      </c>
      <c r="O65" s="5" t="n"/>
      <c r="P65" s="4" t="n"/>
      <c r="Q65" s="4" t="n"/>
      <c r="R65" s="5" t="n"/>
      <c r="S65" s="4" t="n"/>
      <c r="T65" s="4" t="n"/>
      <c r="U65" s="13" t="n"/>
      <c r="V65" s="13" t="n"/>
      <c r="W65" s="13" t="n"/>
      <c r="X65" s="14" t="n"/>
      <c r="Y65" s="14" t="n"/>
      <c r="Z65" s="8" t="n"/>
    </row>
    <row r="66">
      <c r="A66" s="4" t="n"/>
      <c r="B66" s="8" t="n"/>
      <c r="C66" s="4" t="n"/>
      <c r="D66" s="4" t="n"/>
      <c r="E66" s="4" t="n"/>
      <c r="F66" s="12" t="n"/>
      <c r="G66" s="4" t="n"/>
      <c r="H66" s="4" t="n"/>
      <c r="I66" s="4" t="n"/>
      <c r="J66" s="5" t="n"/>
      <c r="K66" s="5">
        <f>IF(J66="","",J66+4)</f>
        <v/>
      </c>
      <c r="L66" s="5">
        <f>IF(J66="","",J66+9)</f>
        <v/>
      </c>
      <c r="M66" s="5">
        <f>IF(J66="","",J66+16)</f>
        <v/>
      </c>
      <c r="N66" s="4">
        <f>IF(OR(I66="Contacted",I66="Terms sent"),IF(TODAY()&gt;=M66,"Close (step 3)",IF(TODAY()&gt;=L66,"Follow-up 2",IF(TODAY()&gt;=K66,"Follow-up 1",""))),IF(I66="Shortlisted",IF(G66="","Score it",""),""))</f>
        <v/>
      </c>
      <c r="O66" s="5" t="n"/>
      <c r="P66" s="4" t="n"/>
      <c r="Q66" s="4" t="n"/>
      <c r="R66" s="5" t="n"/>
      <c r="S66" s="4" t="n"/>
      <c r="T66" s="4" t="n"/>
      <c r="U66" s="13" t="n"/>
      <c r="V66" s="13" t="n"/>
      <c r="W66" s="13" t="n"/>
      <c r="X66" s="14" t="n"/>
      <c r="Y66" s="14" t="n"/>
      <c r="Z66" s="8" t="n"/>
    </row>
    <row r="67">
      <c r="A67" s="4" t="n"/>
      <c r="B67" s="8" t="n"/>
      <c r="C67" s="4" t="n"/>
      <c r="D67" s="4" t="n"/>
      <c r="E67" s="4" t="n"/>
      <c r="F67" s="12" t="n"/>
      <c r="G67" s="4" t="n"/>
      <c r="H67" s="4" t="n"/>
      <c r="I67" s="4" t="n"/>
      <c r="J67" s="5" t="n"/>
      <c r="K67" s="5">
        <f>IF(J67="","",J67+4)</f>
        <v/>
      </c>
      <c r="L67" s="5">
        <f>IF(J67="","",J67+9)</f>
        <v/>
      </c>
      <c r="M67" s="5">
        <f>IF(J67="","",J67+16)</f>
        <v/>
      </c>
      <c r="N67" s="4">
        <f>IF(OR(I67="Contacted",I67="Terms sent"),IF(TODAY()&gt;=M67,"Close (step 3)",IF(TODAY()&gt;=L67,"Follow-up 2",IF(TODAY()&gt;=K67,"Follow-up 1",""))),IF(I67="Shortlisted",IF(G67="","Score it",""),""))</f>
        <v/>
      </c>
      <c r="O67" s="5" t="n"/>
      <c r="P67" s="4" t="n"/>
      <c r="Q67" s="4" t="n"/>
      <c r="R67" s="5" t="n"/>
      <c r="S67" s="4" t="n"/>
      <c r="T67" s="4" t="n"/>
      <c r="U67" s="13" t="n"/>
      <c r="V67" s="13" t="n"/>
      <c r="W67" s="13" t="n"/>
      <c r="X67" s="14" t="n"/>
      <c r="Y67" s="14" t="n"/>
      <c r="Z67" s="8" t="n"/>
    </row>
    <row r="68">
      <c r="A68" s="4" t="n"/>
      <c r="B68" s="8" t="n"/>
      <c r="C68" s="4" t="n"/>
      <c r="D68" s="4" t="n"/>
      <c r="E68" s="4" t="n"/>
      <c r="F68" s="12" t="n"/>
      <c r="G68" s="4" t="n"/>
      <c r="H68" s="4" t="n"/>
      <c r="I68" s="4" t="n"/>
      <c r="J68" s="5" t="n"/>
      <c r="K68" s="5">
        <f>IF(J68="","",J68+4)</f>
        <v/>
      </c>
      <c r="L68" s="5">
        <f>IF(J68="","",J68+9)</f>
        <v/>
      </c>
      <c r="M68" s="5">
        <f>IF(J68="","",J68+16)</f>
        <v/>
      </c>
      <c r="N68" s="4">
        <f>IF(OR(I68="Contacted",I68="Terms sent"),IF(TODAY()&gt;=M68,"Close (step 3)",IF(TODAY()&gt;=L68,"Follow-up 2",IF(TODAY()&gt;=K68,"Follow-up 1",""))),IF(I68="Shortlisted",IF(G68="","Score it",""),""))</f>
        <v/>
      </c>
      <c r="O68" s="5" t="n"/>
      <c r="P68" s="4" t="n"/>
      <c r="Q68" s="4" t="n"/>
      <c r="R68" s="5" t="n"/>
      <c r="S68" s="4" t="n"/>
      <c r="T68" s="4" t="n"/>
      <c r="U68" s="13" t="n"/>
      <c r="V68" s="13" t="n"/>
      <c r="W68" s="13" t="n"/>
      <c r="X68" s="14" t="n"/>
      <c r="Y68" s="14" t="n"/>
      <c r="Z68" s="8" t="n"/>
    </row>
    <row r="69">
      <c r="A69" s="4" t="n"/>
      <c r="B69" s="8" t="n"/>
      <c r="C69" s="4" t="n"/>
      <c r="D69" s="4" t="n"/>
      <c r="E69" s="4" t="n"/>
      <c r="F69" s="12" t="n"/>
      <c r="G69" s="4" t="n"/>
      <c r="H69" s="4" t="n"/>
      <c r="I69" s="4" t="n"/>
      <c r="J69" s="5" t="n"/>
      <c r="K69" s="5">
        <f>IF(J69="","",J69+4)</f>
        <v/>
      </c>
      <c r="L69" s="5">
        <f>IF(J69="","",J69+9)</f>
        <v/>
      </c>
      <c r="M69" s="5">
        <f>IF(J69="","",J69+16)</f>
        <v/>
      </c>
      <c r="N69" s="4">
        <f>IF(OR(I69="Contacted",I69="Terms sent"),IF(TODAY()&gt;=M69,"Close (step 3)",IF(TODAY()&gt;=L69,"Follow-up 2",IF(TODAY()&gt;=K69,"Follow-up 1",""))),IF(I69="Shortlisted",IF(G69="","Score it",""),""))</f>
        <v/>
      </c>
      <c r="O69" s="5" t="n"/>
      <c r="P69" s="4" t="n"/>
      <c r="Q69" s="4" t="n"/>
      <c r="R69" s="5" t="n"/>
      <c r="S69" s="4" t="n"/>
      <c r="T69" s="4" t="n"/>
      <c r="U69" s="13" t="n"/>
      <c r="V69" s="13" t="n"/>
      <c r="W69" s="13" t="n"/>
      <c r="X69" s="14" t="n"/>
      <c r="Y69" s="14" t="n"/>
      <c r="Z69" s="8" t="n"/>
    </row>
    <row r="70">
      <c r="A70" s="4" t="n"/>
      <c r="B70" s="8" t="n"/>
      <c r="C70" s="4" t="n"/>
      <c r="D70" s="4" t="n"/>
      <c r="E70" s="4" t="n"/>
      <c r="F70" s="12" t="n"/>
      <c r="G70" s="4" t="n"/>
      <c r="H70" s="4" t="n"/>
      <c r="I70" s="4" t="n"/>
      <c r="J70" s="5" t="n"/>
      <c r="K70" s="5">
        <f>IF(J70="","",J70+4)</f>
        <v/>
      </c>
      <c r="L70" s="5">
        <f>IF(J70="","",J70+9)</f>
        <v/>
      </c>
      <c r="M70" s="5">
        <f>IF(J70="","",J70+16)</f>
        <v/>
      </c>
      <c r="N70" s="4">
        <f>IF(OR(I70="Contacted",I70="Terms sent"),IF(TODAY()&gt;=M70,"Close (step 3)",IF(TODAY()&gt;=L70,"Follow-up 2",IF(TODAY()&gt;=K70,"Follow-up 1",""))),IF(I70="Shortlisted",IF(G70="","Score it",""),""))</f>
        <v/>
      </c>
      <c r="O70" s="5" t="n"/>
      <c r="P70" s="4" t="n"/>
      <c r="Q70" s="4" t="n"/>
      <c r="R70" s="5" t="n"/>
      <c r="S70" s="4" t="n"/>
      <c r="T70" s="4" t="n"/>
      <c r="U70" s="13" t="n"/>
      <c r="V70" s="13" t="n"/>
      <c r="W70" s="13" t="n"/>
      <c r="X70" s="14" t="n"/>
      <c r="Y70" s="14" t="n"/>
      <c r="Z70" s="8" t="n"/>
    </row>
    <row r="71">
      <c r="A71" s="4" t="n"/>
      <c r="B71" s="8" t="n"/>
      <c r="C71" s="4" t="n"/>
      <c r="D71" s="4" t="n"/>
      <c r="E71" s="4" t="n"/>
      <c r="F71" s="12" t="n"/>
      <c r="G71" s="4" t="n"/>
      <c r="H71" s="4" t="n"/>
      <c r="I71" s="4" t="n"/>
      <c r="J71" s="5" t="n"/>
      <c r="K71" s="5">
        <f>IF(J71="","",J71+4)</f>
        <v/>
      </c>
      <c r="L71" s="5">
        <f>IF(J71="","",J71+9)</f>
        <v/>
      </c>
      <c r="M71" s="5">
        <f>IF(J71="","",J71+16)</f>
        <v/>
      </c>
      <c r="N71" s="4">
        <f>IF(OR(I71="Contacted",I71="Terms sent"),IF(TODAY()&gt;=M71,"Close (step 3)",IF(TODAY()&gt;=L71,"Follow-up 2",IF(TODAY()&gt;=K71,"Follow-up 1",""))),IF(I71="Shortlisted",IF(G71="","Score it",""),""))</f>
        <v/>
      </c>
      <c r="O71" s="5" t="n"/>
      <c r="P71" s="4" t="n"/>
      <c r="Q71" s="4" t="n"/>
      <c r="R71" s="5" t="n"/>
      <c r="S71" s="4" t="n"/>
      <c r="T71" s="4" t="n"/>
      <c r="U71" s="13" t="n"/>
      <c r="V71" s="13" t="n"/>
      <c r="W71" s="13" t="n"/>
      <c r="X71" s="14" t="n"/>
      <c r="Y71" s="14" t="n"/>
      <c r="Z71" s="8" t="n"/>
    </row>
    <row r="72">
      <c r="A72" s="4" t="n"/>
      <c r="B72" s="8" t="n"/>
      <c r="C72" s="4" t="n"/>
      <c r="D72" s="4" t="n"/>
      <c r="E72" s="4" t="n"/>
      <c r="F72" s="12" t="n"/>
      <c r="G72" s="4" t="n"/>
      <c r="H72" s="4" t="n"/>
      <c r="I72" s="4" t="n"/>
      <c r="J72" s="5" t="n"/>
      <c r="K72" s="5">
        <f>IF(J72="","",J72+4)</f>
        <v/>
      </c>
      <c r="L72" s="5">
        <f>IF(J72="","",J72+9)</f>
        <v/>
      </c>
      <c r="M72" s="5">
        <f>IF(J72="","",J72+16)</f>
        <v/>
      </c>
      <c r="N72" s="4">
        <f>IF(OR(I72="Contacted",I72="Terms sent"),IF(TODAY()&gt;=M72,"Close (step 3)",IF(TODAY()&gt;=L72,"Follow-up 2",IF(TODAY()&gt;=K72,"Follow-up 1",""))),IF(I72="Shortlisted",IF(G72="","Score it",""),""))</f>
        <v/>
      </c>
      <c r="O72" s="5" t="n"/>
      <c r="P72" s="4" t="n"/>
      <c r="Q72" s="4" t="n"/>
      <c r="R72" s="5" t="n"/>
      <c r="S72" s="4" t="n"/>
      <c r="T72" s="4" t="n"/>
      <c r="U72" s="13" t="n"/>
      <c r="V72" s="13" t="n"/>
      <c r="W72" s="13" t="n"/>
      <c r="X72" s="14" t="n"/>
      <c r="Y72" s="14" t="n"/>
      <c r="Z72" s="8" t="n"/>
    </row>
    <row r="73">
      <c r="A73" s="4" t="n"/>
      <c r="B73" s="8" t="n"/>
      <c r="C73" s="4" t="n"/>
      <c r="D73" s="4" t="n"/>
      <c r="E73" s="4" t="n"/>
      <c r="F73" s="12" t="n"/>
      <c r="G73" s="4" t="n"/>
      <c r="H73" s="4" t="n"/>
      <c r="I73" s="4" t="n"/>
      <c r="J73" s="5" t="n"/>
      <c r="K73" s="5">
        <f>IF(J73="","",J73+4)</f>
        <v/>
      </c>
      <c r="L73" s="5">
        <f>IF(J73="","",J73+9)</f>
        <v/>
      </c>
      <c r="M73" s="5">
        <f>IF(J73="","",J73+16)</f>
        <v/>
      </c>
      <c r="N73" s="4">
        <f>IF(OR(I73="Contacted",I73="Terms sent"),IF(TODAY()&gt;=M73,"Close (step 3)",IF(TODAY()&gt;=L73,"Follow-up 2",IF(TODAY()&gt;=K73,"Follow-up 1",""))),IF(I73="Shortlisted",IF(G73="","Score it",""),""))</f>
        <v/>
      </c>
      <c r="O73" s="5" t="n"/>
      <c r="P73" s="4" t="n"/>
      <c r="Q73" s="4" t="n"/>
      <c r="R73" s="5" t="n"/>
      <c r="S73" s="4" t="n"/>
      <c r="T73" s="4" t="n"/>
      <c r="U73" s="13" t="n"/>
      <c r="V73" s="13" t="n"/>
      <c r="W73" s="13" t="n"/>
      <c r="X73" s="14" t="n"/>
      <c r="Y73" s="14" t="n"/>
      <c r="Z73" s="8" t="n"/>
    </row>
    <row r="74">
      <c r="A74" s="4" t="n"/>
      <c r="B74" s="8" t="n"/>
      <c r="C74" s="4" t="n"/>
      <c r="D74" s="4" t="n"/>
      <c r="E74" s="4" t="n"/>
      <c r="F74" s="12" t="n"/>
      <c r="G74" s="4" t="n"/>
      <c r="H74" s="4" t="n"/>
      <c r="I74" s="4" t="n"/>
      <c r="J74" s="5" t="n"/>
      <c r="K74" s="5">
        <f>IF(J74="","",J74+4)</f>
        <v/>
      </c>
      <c r="L74" s="5">
        <f>IF(J74="","",J74+9)</f>
        <v/>
      </c>
      <c r="M74" s="5">
        <f>IF(J74="","",J74+16)</f>
        <v/>
      </c>
      <c r="N74" s="4">
        <f>IF(OR(I74="Contacted",I74="Terms sent"),IF(TODAY()&gt;=M74,"Close (step 3)",IF(TODAY()&gt;=L74,"Follow-up 2",IF(TODAY()&gt;=K74,"Follow-up 1",""))),IF(I74="Shortlisted",IF(G74="","Score it",""),""))</f>
        <v/>
      </c>
      <c r="O74" s="5" t="n"/>
      <c r="P74" s="4" t="n"/>
      <c r="Q74" s="4" t="n"/>
      <c r="R74" s="5" t="n"/>
      <c r="S74" s="4" t="n"/>
      <c r="T74" s="4" t="n"/>
      <c r="U74" s="13" t="n"/>
      <c r="V74" s="13" t="n"/>
      <c r="W74" s="13" t="n"/>
      <c r="X74" s="14" t="n"/>
      <c r="Y74" s="14" t="n"/>
      <c r="Z74" s="8" t="n"/>
    </row>
    <row r="75">
      <c r="A75" s="4" t="n"/>
      <c r="B75" s="8" t="n"/>
      <c r="C75" s="4" t="n"/>
      <c r="D75" s="4" t="n"/>
      <c r="E75" s="4" t="n"/>
      <c r="F75" s="12" t="n"/>
      <c r="G75" s="4" t="n"/>
      <c r="H75" s="4" t="n"/>
      <c r="I75" s="4" t="n"/>
      <c r="J75" s="5" t="n"/>
      <c r="K75" s="5">
        <f>IF(J75="","",J75+4)</f>
        <v/>
      </c>
      <c r="L75" s="5">
        <f>IF(J75="","",J75+9)</f>
        <v/>
      </c>
      <c r="M75" s="5">
        <f>IF(J75="","",J75+16)</f>
        <v/>
      </c>
      <c r="N75" s="4">
        <f>IF(OR(I75="Contacted",I75="Terms sent"),IF(TODAY()&gt;=M75,"Close (step 3)",IF(TODAY()&gt;=L75,"Follow-up 2",IF(TODAY()&gt;=K75,"Follow-up 1",""))),IF(I75="Shortlisted",IF(G75="","Score it",""),""))</f>
        <v/>
      </c>
      <c r="O75" s="5" t="n"/>
      <c r="P75" s="4" t="n"/>
      <c r="Q75" s="4" t="n"/>
      <c r="R75" s="5" t="n"/>
      <c r="S75" s="4" t="n"/>
      <c r="T75" s="4" t="n"/>
      <c r="U75" s="13" t="n"/>
      <c r="V75" s="13" t="n"/>
      <c r="W75" s="13" t="n"/>
      <c r="X75" s="14" t="n"/>
      <c r="Y75" s="14" t="n"/>
      <c r="Z75" s="8" t="n"/>
    </row>
    <row r="76">
      <c r="A76" s="4" t="n"/>
      <c r="B76" s="8" t="n"/>
      <c r="C76" s="4" t="n"/>
      <c r="D76" s="4" t="n"/>
      <c r="E76" s="4" t="n"/>
      <c r="F76" s="12" t="n"/>
      <c r="G76" s="4" t="n"/>
      <c r="H76" s="4" t="n"/>
      <c r="I76" s="4" t="n"/>
      <c r="J76" s="5" t="n"/>
      <c r="K76" s="5">
        <f>IF(J76="","",J76+4)</f>
        <v/>
      </c>
      <c r="L76" s="5">
        <f>IF(J76="","",J76+9)</f>
        <v/>
      </c>
      <c r="M76" s="5">
        <f>IF(J76="","",J76+16)</f>
        <v/>
      </c>
      <c r="N76" s="4">
        <f>IF(OR(I76="Contacted",I76="Terms sent"),IF(TODAY()&gt;=M76,"Close (step 3)",IF(TODAY()&gt;=L76,"Follow-up 2",IF(TODAY()&gt;=K76,"Follow-up 1",""))),IF(I76="Shortlisted",IF(G76="","Score it",""),""))</f>
        <v/>
      </c>
      <c r="O76" s="5" t="n"/>
      <c r="P76" s="4" t="n"/>
      <c r="Q76" s="4" t="n"/>
      <c r="R76" s="5" t="n"/>
      <c r="S76" s="4" t="n"/>
      <c r="T76" s="4" t="n"/>
      <c r="U76" s="13" t="n"/>
      <c r="V76" s="13" t="n"/>
      <c r="W76" s="13" t="n"/>
      <c r="X76" s="14" t="n"/>
      <c r="Y76" s="14" t="n"/>
      <c r="Z76" s="8" t="n"/>
    </row>
    <row r="77">
      <c r="A77" s="4" t="n"/>
      <c r="B77" s="8" t="n"/>
      <c r="C77" s="4" t="n"/>
      <c r="D77" s="4" t="n"/>
      <c r="E77" s="4" t="n"/>
      <c r="F77" s="12" t="n"/>
      <c r="G77" s="4" t="n"/>
      <c r="H77" s="4" t="n"/>
      <c r="I77" s="4" t="n"/>
      <c r="J77" s="5" t="n"/>
      <c r="K77" s="5">
        <f>IF(J77="","",J77+4)</f>
        <v/>
      </c>
      <c r="L77" s="5">
        <f>IF(J77="","",J77+9)</f>
        <v/>
      </c>
      <c r="M77" s="5">
        <f>IF(J77="","",J77+16)</f>
        <v/>
      </c>
      <c r="N77" s="4">
        <f>IF(OR(I77="Contacted",I77="Terms sent"),IF(TODAY()&gt;=M77,"Close (step 3)",IF(TODAY()&gt;=L77,"Follow-up 2",IF(TODAY()&gt;=K77,"Follow-up 1",""))),IF(I77="Shortlisted",IF(G77="","Score it",""),""))</f>
        <v/>
      </c>
      <c r="O77" s="5" t="n"/>
      <c r="P77" s="4" t="n"/>
      <c r="Q77" s="4" t="n"/>
      <c r="R77" s="5" t="n"/>
      <c r="S77" s="4" t="n"/>
      <c r="T77" s="4" t="n"/>
      <c r="U77" s="13" t="n"/>
      <c r="V77" s="13" t="n"/>
      <c r="W77" s="13" t="n"/>
      <c r="X77" s="14" t="n"/>
      <c r="Y77" s="14" t="n"/>
      <c r="Z77" s="8" t="n"/>
    </row>
    <row r="78">
      <c r="A78" s="4" t="n"/>
      <c r="B78" s="8" t="n"/>
      <c r="C78" s="4" t="n"/>
      <c r="D78" s="4" t="n"/>
      <c r="E78" s="4" t="n"/>
      <c r="F78" s="12" t="n"/>
      <c r="G78" s="4" t="n"/>
      <c r="H78" s="4" t="n"/>
      <c r="I78" s="4" t="n"/>
      <c r="J78" s="5" t="n"/>
      <c r="K78" s="5">
        <f>IF(J78="","",J78+4)</f>
        <v/>
      </c>
      <c r="L78" s="5">
        <f>IF(J78="","",J78+9)</f>
        <v/>
      </c>
      <c r="M78" s="5">
        <f>IF(J78="","",J78+16)</f>
        <v/>
      </c>
      <c r="N78" s="4">
        <f>IF(OR(I78="Contacted",I78="Terms sent"),IF(TODAY()&gt;=M78,"Close (step 3)",IF(TODAY()&gt;=L78,"Follow-up 2",IF(TODAY()&gt;=K78,"Follow-up 1",""))),IF(I78="Shortlisted",IF(G78="","Score it",""),""))</f>
        <v/>
      </c>
      <c r="O78" s="5" t="n"/>
      <c r="P78" s="4" t="n"/>
      <c r="Q78" s="4" t="n"/>
      <c r="R78" s="5" t="n"/>
      <c r="S78" s="4" t="n"/>
      <c r="T78" s="4" t="n"/>
      <c r="U78" s="13" t="n"/>
      <c r="V78" s="13" t="n"/>
      <c r="W78" s="13" t="n"/>
      <c r="X78" s="14" t="n"/>
      <c r="Y78" s="14" t="n"/>
      <c r="Z78" s="8" t="n"/>
    </row>
    <row r="79">
      <c r="A79" s="4" t="n"/>
      <c r="B79" s="8" t="n"/>
      <c r="C79" s="4" t="n"/>
      <c r="D79" s="4" t="n"/>
      <c r="E79" s="4" t="n"/>
      <c r="F79" s="12" t="n"/>
      <c r="G79" s="4" t="n"/>
      <c r="H79" s="4" t="n"/>
      <c r="I79" s="4" t="n"/>
      <c r="J79" s="5" t="n"/>
      <c r="K79" s="5">
        <f>IF(J79="","",J79+4)</f>
        <v/>
      </c>
      <c r="L79" s="5">
        <f>IF(J79="","",J79+9)</f>
        <v/>
      </c>
      <c r="M79" s="5">
        <f>IF(J79="","",J79+16)</f>
        <v/>
      </c>
      <c r="N79" s="4">
        <f>IF(OR(I79="Contacted",I79="Terms sent"),IF(TODAY()&gt;=M79,"Close (step 3)",IF(TODAY()&gt;=L79,"Follow-up 2",IF(TODAY()&gt;=K79,"Follow-up 1",""))),IF(I79="Shortlisted",IF(G79="","Score it",""),""))</f>
        <v/>
      </c>
      <c r="O79" s="5" t="n"/>
      <c r="P79" s="4" t="n"/>
      <c r="Q79" s="4" t="n"/>
      <c r="R79" s="5" t="n"/>
      <c r="S79" s="4" t="n"/>
      <c r="T79" s="4" t="n"/>
      <c r="U79" s="13" t="n"/>
      <c r="V79" s="13" t="n"/>
      <c r="W79" s="13" t="n"/>
      <c r="X79" s="14" t="n"/>
      <c r="Y79" s="14" t="n"/>
      <c r="Z79" s="8" t="n"/>
    </row>
    <row r="80">
      <c r="A80" s="4" t="n"/>
      <c r="B80" s="8" t="n"/>
      <c r="C80" s="4" t="n"/>
      <c r="D80" s="4" t="n"/>
      <c r="E80" s="4" t="n"/>
      <c r="F80" s="12" t="n"/>
      <c r="G80" s="4" t="n"/>
      <c r="H80" s="4" t="n"/>
      <c r="I80" s="4" t="n"/>
      <c r="J80" s="5" t="n"/>
      <c r="K80" s="5">
        <f>IF(J80="","",J80+4)</f>
        <v/>
      </c>
      <c r="L80" s="5">
        <f>IF(J80="","",J80+9)</f>
        <v/>
      </c>
      <c r="M80" s="5">
        <f>IF(J80="","",J80+16)</f>
        <v/>
      </c>
      <c r="N80" s="4">
        <f>IF(OR(I80="Contacted",I80="Terms sent"),IF(TODAY()&gt;=M80,"Close (step 3)",IF(TODAY()&gt;=L80,"Follow-up 2",IF(TODAY()&gt;=K80,"Follow-up 1",""))),IF(I80="Shortlisted",IF(G80="","Score it",""),""))</f>
        <v/>
      </c>
      <c r="O80" s="5" t="n"/>
      <c r="P80" s="4" t="n"/>
      <c r="Q80" s="4" t="n"/>
      <c r="R80" s="5" t="n"/>
      <c r="S80" s="4" t="n"/>
      <c r="T80" s="4" t="n"/>
      <c r="U80" s="13" t="n"/>
      <c r="V80" s="13" t="n"/>
      <c r="W80" s="13" t="n"/>
      <c r="X80" s="14" t="n"/>
      <c r="Y80" s="14" t="n"/>
      <c r="Z80" s="8" t="n"/>
    </row>
    <row r="81">
      <c r="A81" s="4" t="n"/>
      <c r="B81" s="8" t="n"/>
      <c r="C81" s="4" t="n"/>
      <c r="D81" s="4" t="n"/>
      <c r="E81" s="4" t="n"/>
      <c r="F81" s="12" t="n"/>
      <c r="G81" s="4" t="n"/>
      <c r="H81" s="4" t="n"/>
      <c r="I81" s="4" t="n"/>
      <c r="J81" s="5" t="n"/>
      <c r="K81" s="5">
        <f>IF(J81="","",J81+4)</f>
        <v/>
      </c>
      <c r="L81" s="5">
        <f>IF(J81="","",J81+9)</f>
        <v/>
      </c>
      <c r="M81" s="5">
        <f>IF(J81="","",J81+16)</f>
        <v/>
      </c>
      <c r="N81" s="4">
        <f>IF(OR(I81="Contacted",I81="Terms sent"),IF(TODAY()&gt;=M81,"Close (step 3)",IF(TODAY()&gt;=L81,"Follow-up 2",IF(TODAY()&gt;=K81,"Follow-up 1",""))),IF(I81="Shortlisted",IF(G81="","Score it",""),""))</f>
        <v/>
      </c>
      <c r="O81" s="5" t="n"/>
      <c r="P81" s="4" t="n"/>
      <c r="Q81" s="4" t="n"/>
      <c r="R81" s="5" t="n"/>
      <c r="S81" s="4" t="n"/>
      <c r="T81" s="4" t="n"/>
      <c r="U81" s="13" t="n"/>
      <c r="V81" s="13" t="n"/>
      <c r="W81" s="13" t="n"/>
      <c r="X81" s="14" t="n"/>
      <c r="Y81" s="14" t="n"/>
      <c r="Z81" s="8" t="n"/>
    </row>
    <row r="82">
      <c r="A82" s="4" t="n"/>
      <c r="B82" s="8" t="n"/>
      <c r="C82" s="4" t="n"/>
      <c r="D82" s="4" t="n"/>
      <c r="E82" s="4" t="n"/>
      <c r="F82" s="12" t="n"/>
      <c r="G82" s="4" t="n"/>
      <c r="H82" s="4" t="n"/>
      <c r="I82" s="4" t="n"/>
      <c r="J82" s="5" t="n"/>
      <c r="K82" s="5">
        <f>IF(J82="","",J82+4)</f>
        <v/>
      </c>
      <c r="L82" s="5">
        <f>IF(J82="","",J82+9)</f>
        <v/>
      </c>
      <c r="M82" s="5">
        <f>IF(J82="","",J82+16)</f>
        <v/>
      </c>
      <c r="N82" s="4">
        <f>IF(OR(I82="Contacted",I82="Terms sent"),IF(TODAY()&gt;=M82,"Close (step 3)",IF(TODAY()&gt;=L82,"Follow-up 2",IF(TODAY()&gt;=K82,"Follow-up 1",""))),IF(I82="Shortlisted",IF(G82="","Score it",""),""))</f>
        <v/>
      </c>
      <c r="O82" s="5" t="n"/>
      <c r="P82" s="4" t="n"/>
      <c r="Q82" s="4" t="n"/>
      <c r="R82" s="5" t="n"/>
      <c r="S82" s="4" t="n"/>
      <c r="T82" s="4" t="n"/>
      <c r="U82" s="13" t="n"/>
      <c r="V82" s="13" t="n"/>
      <c r="W82" s="13" t="n"/>
      <c r="X82" s="14" t="n"/>
      <c r="Y82" s="14" t="n"/>
      <c r="Z82" s="8" t="n"/>
    </row>
    <row r="83">
      <c r="A83" s="4" t="n"/>
      <c r="B83" s="8" t="n"/>
      <c r="C83" s="4" t="n"/>
      <c r="D83" s="4" t="n"/>
      <c r="E83" s="4" t="n"/>
      <c r="F83" s="12" t="n"/>
      <c r="G83" s="4" t="n"/>
      <c r="H83" s="4" t="n"/>
      <c r="I83" s="4" t="n"/>
      <c r="J83" s="5" t="n"/>
      <c r="K83" s="5">
        <f>IF(J83="","",J83+4)</f>
        <v/>
      </c>
      <c r="L83" s="5">
        <f>IF(J83="","",J83+9)</f>
        <v/>
      </c>
      <c r="M83" s="5">
        <f>IF(J83="","",J83+16)</f>
        <v/>
      </c>
      <c r="N83" s="4">
        <f>IF(OR(I83="Contacted",I83="Terms sent"),IF(TODAY()&gt;=M83,"Close (step 3)",IF(TODAY()&gt;=L83,"Follow-up 2",IF(TODAY()&gt;=K83,"Follow-up 1",""))),IF(I83="Shortlisted",IF(G83="","Score it",""),""))</f>
        <v/>
      </c>
      <c r="O83" s="5" t="n"/>
      <c r="P83" s="4" t="n"/>
      <c r="Q83" s="4" t="n"/>
      <c r="R83" s="5" t="n"/>
      <c r="S83" s="4" t="n"/>
      <c r="T83" s="4" t="n"/>
      <c r="U83" s="13" t="n"/>
      <c r="V83" s="13" t="n"/>
      <c r="W83" s="13" t="n"/>
      <c r="X83" s="14" t="n"/>
      <c r="Y83" s="14" t="n"/>
      <c r="Z83" s="8" t="n"/>
    </row>
    <row r="84">
      <c r="A84" s="4" t="n"/>
      <c r="B84" s="8" t="n"/>
      <c r="C84" s="4" t="n"/>
      <c r="D84" s="4" t="n"/>
      <c r="E84" s="4" t="n"/>
      <c r="F84" s="12" t="n"/>
      <c r="G84" s="4" t="n"/>
      <c r="H84" s="4" t="n"/>
      <c r="I84" s="4" t="n"/>
      <c r="J84" s="5" t="n"/>
      <c r="K84" s="5">
        <f>IF(J84="","",J84+4)</f>
        <v/>
      </c>
      <c r="L84" s="5">
        <f>IF(J84="","",J84+9)</f>
        <v/>
      </c>
      <c r="M84" s="5">
        <f>IF(J84="","",J84+16)</f>
        <v/>
      </c>
      <c r="N84" s="4">
        <f>IF(OR(I84="Contacted",I84="Terms sent"),IF(TODAY()&gt;=M84,"Close (step 3)",IF(TODAY()&gt;=L84,"Follow-up 2",IF(TODAY()&gt;=K84,"Follow-up 1",""))),IF(I84="Shortlisted",IF(G84="","Score it",""),""))</f>
        <v/>
      </c>
      <c r="O84" s="5" t="n"/>
      <c r="P84" s="4" t="n"/>
      <c r="Q84" s="4" t="n"/>
      <c r="R84" s="5" t="n"/>
      <c r="S84" s="4" t="n"/>
      <c r="T84" s="4" t="n"/>
      <c r="U84" s="13" t="n"/>
      <c r="V84" s="13" t="n"/>
      <c r="W84" s="13" t="n"/>
      <c r="X84" s="14" t="n"/>
      <c r="Y84" s="14" t="n"/>
      <c r="Z84" s="8" t="n"/>
    </row>
    <row r="85">
      <c r="A85" s="4" t="n"/>
      <c r="B85" s="8" t="n"/>
      <c r="C85" s="4" t="n"/>
      <c r="D85" s="4" t="n"/>
      <c r="E85" s="4" t="n"/>
      <c r="F85" s="12" t="n"/>
      <c r="G85" s="4" t="n"/>
      <c r="H85" s="4" t="n"/>
      <c r="I85" s="4" t="n"/>
      <c r="J85" s="5" t="n"/>
      <c r="K85" s="5">
        <f>IF(J85="","",J85+4)</f>
        <v/>
      </c>
      <c r="L85" s="5">
        <f>IF(J85="","",J85+9)</f>
        <v/>
      </c>
      <c r="M85" s="5">
        <f>IF(J85="","",J85+16)</f>
        <v/>
      </c>
      <c r="N85" s="4">
        <f>IF(OR(I85="Contacted",I85="Terms sent"),IF(TODAY()&gt;=M85,"Close (step 3)",IF(TODAY()&gt;=L85,"Follow-up 2",IF(TODAY()&gt;=K85,"Follow-up 1",""))),IF(I85="Shortlisted",IF(G85="","Score it",""),""))</f>
        <v/>
      </c>
      <c r="O85" s="5" t="n"/>
      <c r="P85" s="4" t="n"/>
      <c r="Q85" s="4" t="n"/>
      <c r="R85" s="5" t="n"/>
      <c r="S85" s="4" t="n"/>
      <c r="T85" s="4" t="n"/>
      <c r="U85" s="13" t="n"/>
      <c r="V85" s="13" t="n"/>
      <c r="W85" s="13" t="n"/>
      <c r="X85" s="14" t="n"/>
      <c r="Y85" s="14" t="n"/>
      <c r="Z85" s="8" t="n"/>
    </row>
    <row r="86">
      <c r="A86" s="4" t="n"/>
      <c r="B86" s="8" t="n"/>
      <c r="C86" s="4" t="n"/>
      <c r="D86" s="4" t="n"/>
      <c r="E86" s="4" t="n"/>
      <c r="F86" s="12" t="n"/>
      <c r="G86" s="4" t="n"/>
      <c r="H86" s="4" t="n"/>
      <c r="I86" s="4" t="n"/>
      <c r="J86" s="5" t="n"/>
      <c r="K86" s="5">
        <f>IF(J86="","",J86+4)</f>
        <v/>
      </c>
      <c r="L86" s="5">
        <f>IF(J86="","",J86+9)</f>
        <v/>
      </c>
      <c r="M86" s="5">
        <f>IF(J86="","",J86+16)</f>
        <v/>
      </c>
      <c r="N86" s="4">
        <f>IF(OR(I86="Contacted",I86="Terms sent"),IF(TODAY()&gt;=M86,"Close (step 3)",IF(TODAY()&gt;=L86,"Follow-up 2",IF(TODAY()&gt;=K86,"Follow-up 1",""))),IF(I86="Shortlisted",IF(G86="","Score it",""),""))</f>
        <v/>
      </c>
      <c r="O86" s="5" t="n"/>
      <c r="P86" s="4" t="n"/>
      <c r="Q86" s="4" t="n"/>
      <c r="R86" s="5" t="n"/>
      <c r="S86" s="4" t="n"/>
      <c r="T86" s="4" t="n"/>
      <c r="U86" s="13" t="n"/>
      <c r="V86" s="13" t="n"/>
      <c r="W86" s="13" t="n"/>
      <c r="X86" s="14" t="n"/>
      <c r="Y86" s="14" t="n"/>
      <c r="Z86" s="8" t="n"/>
    </row>
    <row r="87">
      <c r="A87" s="4" t="n"/>
      <c r="B87" s="8" t="n"/>
      <c r="C87" s="4" t="n"/>
      <c r="D87" s="4" t="n"/>
      <c r="E87" s="4" t="n"/>
      <c r="F87" s="12" t="n"/>
      <c r="G87" s="4" t="n"/>
      <c r="H87" s="4" t="n"/>
      <c r="I87" s="4" t="n"/>
      <c r="J87" s="5" t="n"/>
      <c r="K87" s="5">
        <f>IF(J87="","",J87+4)</f>
        <v/>
      </c>
      <c r="L87" s="5">
        <f>IF(J87="","",J87+9)</f>
        <v/>
      </c>
      <c r="M87" s="5">
        <f>IF(J87="","",J87+16)</f>
        <v/>
      </c>
      <c r="N87" s="4">
        <f>IF(OR(I87="Contacted",I87="Terms sent"),IF(TODAY()&gt;=M87,"Close (step 3)",IF(TODAY()&gt;=L87,"Follow-up 2",IF(TODAY()&gt;=K87,"Follow-up 1",""))),IF(I87="Shortlisted",IF(G87="","Score it",""),""))</f>
        <v/>
      </c>
      <c r="O87" s="5" t="n"/>
      <c r="P87" s="4" t="n"/>
      <c r="Q87" s="4" t="n"/>
      <c r="R87" s="5" t="n"/>
      <c r="S87" s="4" t="n"/>
      <c r="T87" s="4" t="n"/>
      <c r="U87" s="13" t="n"/>
      <c r="V87" s="13" t="n"/>
      <c r="W87" s="13" t="n"/>
      <c r="X87" s="14" t="n"/>
      <c r="Y87" s="14" t="n"/>
      <c r="Z87" s="8" t="n"/>
    </row>
    <row r="88">
      <c r="A88" s="4" t="n"/>
      <c r="B88" s="8" t="n"/>
      <c r="C88" s="4" t="n"/>
      <c r="D88" s="4" t="n"/>
      <c r="E88" s="4" t="n"/>
      <c r="F88" s="12" t="n"/>
      <c r="G88" s="4" t="n"/>
      <c r="H88" s="4" t="n"/>
      <c r="I88" s="4" t="n"/>
      <c r="J88" s="5" t="n"/>
      <c r="K88" s="5">
        <f>IF(J88="","",J88+4)</f>
        <v/>
      </c>
      <c r="L88" s="5">
        <f>IF(J88="","",J88+9)</f>
        <v/>
      </c>
      <c r="M88" s="5">
        <f>IF(J88="","",J88+16)</f>
        <v/>
      </c>
      <c r="N88" s="4">
        <f>IF(OR(I88="Contacted",I88="Terms sent"),IF(TODAY()&gt;=M88,"Close (step 3)",IF(TODAY()&gt;=L88,"Follow-up 2",IF(TODAY()&gt;=K88,"Follow-up 1",""))),IF(I88="Shortlisted",IF(G88="","Score it",""),""))</f>
        <v/>
      </c>
      <c r="O88" s="5" t="n"/>
      <c r="P88" s="4" t="n"/>
      <c r="Q88" s="4" t="n"/>
      <c r="R88" s="5" t="n"/>
      <c r="S88" s="4" t="n"/>
      <c r="T88" s="4" t="n"/>
      <c r="U88" s="13" t="n"/>
      <c r="V88" s="13" t="n"/>
      <c r="W88" s="13" t="n"/>
      <c r="X88" s="14" t="n"/>
      <c r="Y88" s="14" t="n"/>
      <c r="Z88" s="8" t="n"/>
    </row>
    <row r="89">
      <c r="A89" s="4" t="n"/>
      <c r="B89" s="8" t="n"/>
      <c r="C89" s="4" t="n"/>
      <c r="D89" s="4" t="n"/>
      <c r="E89" s="4" t="n"/>
      <c r="F89" s="12" t="n"/>
      <c r="G89" s="4" t="n"/>
      <c r="H89" s="4" t="n"/>
      <c r="I89" s="4" t="n"/>
      <c r="J89" s="5" t="n"/>
      <c r="K89" s="5">
        <f>IF(J89="","",J89+4)</f>
        <v/>
      </c>
      <c r="L89" s="5">
        <f>IF(J89="","",J89+9)</f>
        <v/>
      </c>
      <c r="M89" s="5">
        <f>IF(J89="","",J89+16)</f>
        <v/>
      </c>
      <c r="N89" s="4">
        <f>IF(OR(I89="Contacted",I89="Terms sent"),IF(TODAY()&gt;=M89,"Close (step 3)",IF(TODAY()&gt;=L89,"Follow-up 2",IF(TODAY()&gt;=K89,"Follow-up 1",""))),IF(I89="Shortlisted",IF(G89="","Score it",""),""))</f>
        <v/>
      </c>
      <c r="O89" s="5" t="n"/>
      <c r="P89" s="4" t="n"/>
      <c r="Q89" s="4" t="n"/>
      <c r="R89" s="5" t="n"/>
      <c r="S89" s="4" t="n"/>
      <c r="T89" s="4" t="n"/>
      <c r="U89" s="13" t="n"/>
      <c r="V89" s="13" t="n"/>
      <c r="W89" s="13" t="n"/>
      <c r="X89" s="14" t="n"/>
      <c r="Y89" s="14" t="n"/>
      <c r="Z89" s="8" t="n"/>
    </row>
    <row r="90">
      <c r="A90" s="4" t="n"/>
      <c r="B90" s="8" t="n"/>
      <c r="C90" s="4" t="n"/>
      <c r="D90" s="4" t="n"/>
      <c r="E90" s="4" t="n"/>
      <c r="F90" s="12" t="n"/>
      <c r="G90" s="4" t="n"/>
      <c r="H90" s="4" t="n"/>
      <c r="I90" s="4" t="n"/>
      <c r="J90" s="5" t="n"/>
      <c r="K90" s="5">
        <f>IF(J90="","",J90+4)</f>
        <v/>
      </c>
      <c r="L90" s="5">
        <f>IF(J90="","",J90+9)</f>
        <v/>
      </c>
      <c r="M90" s="5">
        <f>IF(J90="","",J90+16)</f>
        <v/>
      </c>
      <c r="N90" s="4">
        <f>IF(OR(I90="Contacted",I90="Terms sent"),IF(TODAY()&gt;=M90,"Close (step 3)",IF(TODAY()&gt;=L90,"Follow-up 2",IF(TODAY()&gt;=K90,"Follow-up 1",""))),IF(I90="Shortlisted",IF(G90="","Score it",""),""))</f>
        <v/>
      </c>
      <c r="O90" s="5" t="n"/>
      <c r="P90" s="4" t="n"/>
      <c r="Q90" s="4" t="n"/>
      <c r="R90" s="5" t="n"/>
      <c r="S90" s="4" t="n"/>
      <c r="T90" s="4" t="n"/>
      <c r="U90" s="13" t="n"/>
      <c r="V90" s="13" t="n"/>
      <c r="W90" s="13" t="n"/>
      <c r="X90" s="14" t="n"/>
      <c r="Y90" s="14" t="n"/>
      <c r="Z90" s="8" t="n"/>
    </row>
    <row r="91">
      <c r="A91" s="4" t="n"/>
      <c r="B91" s="8" t="n"/>
      <c r="C91" s="4" t="n"/>
      <c r="D91" s="4" t="n"/>
      <c r="E91" s="4" t="n"/>
      <c r="F91" s="12" t="n"/>
      <c r="G91" s="4" t="n"/>
      <c r="H91" s="4" t="n"/>
      <c r="I91" s="4" t="n"/>
      <c r="J91" s="5" t="n"/>
      <c r="K91" s="5">
        <f>IF(J91="","",J91+4)</f>
        <v/>
      </c>
      <c r="L91" s="5">
        <f>IF(J91="","",J91+9)</f>
        <v/>
      </c>
      <c r="M91" s="5">
        <f>IF(J91="","",J91+16)</f>
        <v/>
      </c>
      <c r="N91" s="4">
        <f>IF(OR(I91="Contacted",I91="Terms sent"),IF(TODAY()&gt;=M91,"Close (step 3)",IF(TODAY()&gt;=L91,"Follow-up 2",IF(TODAY()&gt;=K91,"Follow-up 1",""))),IF(I91="Shortlisted",IF(G91="","Score it",""),""))</f>
        <v/>
      </c>
      <c r="O91" s="5" t="n"/>
      <c r="P91" s="4" t="n"/>
      <c r="Q91" s="4" t="n"/>
      <c r="R91" s="5" t="n"/>
      <c r="S91" s="4" t="n"/>
      <c r="T91" s="4" t="n"/>
      <c r="U91" s="13" t="n"/>
      <c r="V91" s="13" t="n"/>
      <c r="W91" s="13" t="n"/>
      <c r="X91" s="14" t="n"/>
      <c r="Y91" s="14" t="n"/>
      <c r="Z91" s="8" t="n"/>
    </row>
    <row r="92">
      <c r="A92" s="4" t="n"/>
      <c r="B92" s="8" t="n"/>
      <c r="C92" s="4" t="n"/>
      <c r="D92" s="4" t="n"/>
      <c r="E92" s="4" t="n"/>
      <c r="F92" s="12" t="n"/>
      <c r="G92" s="4" t="n"/>
      <c r="H92" s="4" t="n"/>
      <c r="I92" s="4" t="n"/>
      <c r="J92" s="5" t="n"/>
      <c r="K92" s="5">
        <f>IF(J92="","",J92+4)</f>
        <v/>
      </c>
      <c r="L92" s="5">
        <f>IF(J92="","",J92+9)</f>
        <v/>
      </c>
      <c r="M92" s="5">
        <f>IF(J92="","",J92+16)</f>
        <v/>
      </c>
      <c r="N92" s="4">
        <f>IF(OR(I92="Contacted",I92="Terms sent"),IF(TODAY()&gt;=M92,"Close (step 3)",IF(TODAY()&gt;=L92,"Follow-up 2",IF(TODAY()&gt;=K92,"Follow-up 1",""))),IF(I92="Shortlisted",IF(G92="","Score it",""),""))</f>
        <v/>
      </c>
      <c r="O92" s="5" t="n"/>
      <c r="P92" s="4" t="n"/>
      <c r="Q92" s="4" t="n"/>
      <c r="R92" s="5" t="n"/>
      <c r="S92" s="4" t="n"/>
      <c r="T92" s="4" t="n"/>
      <c r="U92" s="13" t="n"/>
      <c r="V92" s="13" t="n"/>
      <c r="W92" s="13" t="n"/>
      <c r="X92" s="14" t="n"/>
      <c r="Y92" s="14" t="n"/>
      <c r="Z92" s="8" t="n"/>
    </row>
    <row r="93">
      <c r="A93" s="4" t="n"/>
      <c r="B93" s="8" t="n"/>
      <c r="C93" s="4" t="n"/>
      <c r="D93" s="4" t="n"/>
      <c r="E93" s="4" t="n"/>
      <c r="F93" s="12" t="n"/>
      <c r="G93" s="4" t="n"/>
      <c r="H93" s="4" t="n"/>
      <c r="I93" s="4" t="n"/>
      <c r="J93" s="5" t="n"/>
      <c r="K93" s="5">
        <f>IF(J93="","",J93+4)</f>
        <v/>
      </c>
      <c r="L93" s="5">
        <f>IF(J93="","",J93+9)</f>
        <v/>
      </c>
      <c r="M93" s="5">
        <f>IF(J93="","",J93+16)</f>
        <v/>
      </c>
      <c r="N93" s="4">
        <f>IF(OR(I93="Contacted",I93="Terms sent"),IF(TODAY()&gt;=M93,"Close (step 3)",IF(TODAY()&gt;=L93,"Follow-up 2",IF(TODAY()&gt;=K93,"Follow-up 1",""))),IF(I93="Shortlisted",IF(G93="","Score it",""),""))</f>
        <v/>
      </c>
      <c r="O93" s="5" t="n"/>
      <c r="P93" s="4" t="n"/>
      <c r="Q93" s="4" t="n"/>
      <c r="R93" s="5" t="n"/>
      <c r="S93" s="4" t="n"/>
      <c r="T93" s="4" t="n"/>
      <c r="U93" s="13" t="n"/>
      <c r="V93" s="13" t="n"/>
      <c r="W93" s="13" t="n"/>
      <c r="X93" s="14" t="n"/>
      <c r="Y93" s="14" t="n"/>
      <c r="Z93" s="8" t="n"/>
    </row>
    <row r="94">
      <c r="A94" s="4" t="n"/>
      <c r="B94" s="8" t="n"/>
      <c r="C94" s="4" t="n"/>
      <c r="D94" s="4" t="n"/>
      <c r="E94" s="4" t="n"/>
      <c r="F94" s="12" t="n"/>
      <c r="G94" s="4" t="n"/>
      <c r="H94" s="4" t="n"/>
      <c r="I94" s="4" t="n"/>
      <c r="J94" s="5" t="n"/>
      <c r="K94" s="5">
        <f>IF(J94="","",J94+4)</f>
        <v/>
      </c>
      <c r="L94" s="5">
        <f>IF(J94="","",J94+9)</f>
        <v/>
      </c>
      <c r="M94" s="5">
        <f>IF(J94="","",J94+16)</f>
        <v/>
      </c>
      <c r="N94" s="4">
        <f>IF(OR(I94="Contacted",I94="Terms sent"),IF(TODAY()&gt;=M94,"Close (step 3)",IF(TODAY()&gt;=L94,"Follow-up 2",IF(TODAY()&gt;=K94,"Follow-up 1",""))),IF(I94="Shortlisted",IF(G94="","Score it",""),""))</f>
        <v/>
      </c>
      <c r="O94" s="5" t="n"/>
      <c r="P94" s="4" t="n"/>
      <c r="Q94" s="4" t="n"/>
      <c r="R94" s="5" t="n"/>
      <c r="S94" s="4" t="n"/>
      <c r="T94" s="4" t="n"/>
      <c r="U94" s="13" t="n"/>
      <c r="V94" s="13" t="n"/>
      <c r="W94" s="13" t="n"/>
      <c r="X94" s="14" t="n"/>
      <c r="Y94" s="14" t="n"/>
      <c r="Z94" s="8" t="n"/>
    </row>
    <row r="95">
      <c r="A95" s="4" t="n"/>
      <c r="B95" s="8" t="n"/>
      <c r="C95" s="4" t="n"/>
      <c r="D95" s="4" t="n"/>
      <c r="E95" s="4" t="n"/>
      <c r="F95" s="12" t="n"/>
      <c r="G95" s="4" t="n"/>
      <c r="H95" s="4" t="n"/>
      <c r="I95" s="4" t="n"/>
      <c r="J95" s="5" t="n"/>
      <c r="K95" s="5">
        <f>IF(J95="","",J95+4)</f>
        <v/>
      </c>
      <c r="L95" s="5">
        <f>IF(J95="","",J95+9)</f>
        <v/>
      </c>
      <c r="M95" s="5">
        <f>IF(J95="","",J95+16)</f>
        <v/>
      </c>
      <c r="N95" s="4">
        <f>IF(OR(I95="Contacted",I95="Terms sent"),IF(TODAY()&gt;=M95,"Close (step 3)",IF(TODAY()&gt;=L95,"Follow-up 2",IF(TODAY()&gt;=K95,"Follow-up 1",""))),IF(I95="Shortlisted",IF(G95="","Score it",""),""))</f>
        <v/>
      </c>
      <c r="O95" s="5" t="n"/>
      <c r="P95" s="4" t="n"/>
      <c r="Q95" s="4" t="n"/>
      <c r="R95" s="5" t="n"/>
      <c r="S95" s="4" t="n"/>
      <c r="T95" s="4" t="n"/>
      <c r="U95" s="13" t="n"/>
      <c r="V95" s="13" t="n"/>
      <c r="W95" s="13" t="n"/>
      <c r="X95" s="14" t="n"/>
      <c r="Y95" s="14" t="n"/>
      <c r="Z95" s="8" t="n"/>
    </row>
    <row r="96">
      <c r="A96" s="4" t="n"/>
      <c r="B96" s="8" t="n"/>
      <c r="C96" s="4" t="n"/>
      <c r="D96" s="4" t="n"/>
      <c r="E96" s="4" t="n"/>
      <c r="F96" s="12" t="n"/>
      <c r="G96" s="4" t="n"/>
      <c r="H96" s="4" t="n"/>
      <c r="I96" s="4" t="n"/>
      <c r="J96" s="5" t="n"/>
      <c r="K96" s="5">
        <f>IF(J96="","",J96+4)</f>
        <v/>
      </c>
      <c r="L96" s="5">
        <f>IF(J96="","",J96+9)</f>
        <v/>
      </c>
      <c r="M96" s="5">
        <f>IF(J96="","",J96+16)</f>
        <v/>
      </c>
      <c r="N96" s="4">
        <f>IF(OR(I96="Contacted",I96="Terms sent"),IF(TODAY()&gt;=M96,"Close (step 3)",IF(TODAY()&gt;=L96,"Follow-up 2",IF(TODAY()&gt;=K96,"Follow-up 1",""))),IF(I96="Shortlisted",IF(G96="","Score it",""),""))</f>
        <v/>
      </c>
      <c r="O96" s="5" t="n"/>
      <c r="P96" s="4" t="n"/>
      <c r="Q96" s="4" t="n"/>
      <c r="R96" s="5" t="n"/>
      <c r="S96" s="4" t="n"/>
      <c r="T96" s="4" t="n"/>
      <c r="U96" s="13" t="n"/>
      <c r="V96" s="13" t="n"/>
      <c r="W96" s="13" t="n"/>
      <c r="X96" s="14" t="n"/>
      <c r="Y96" s="14" t="n"/>
      <c r="Z96" s="8" t="n"/>
    </row>
    <row r="97">
      <c r="A97" s="4" t="n"/>
      <c r="B97" s="8" t="n"/>
      <c r="C97" s="4" t="n"/>
      <c r="D97" s="4" t="n"/>
      <c r="E97" s="4" t="n"/>
      <c r="F97" s="12" t="n"/>
      <c r="G97" s="4" t="n"/>
      <c r="H97" s="4" t="n"/>
      <c r="I97" s="4" t="n"/>
      <c r="J97" s="5" t="n"/>
      <c r="K97" s="5">
        <f>IF(J97="","",J97+4)</f>
        <v/>
      </c>
      <c r="L97" s="5">
        <f>IF(J97="","",J97+9)</f>
        <v/>
      </c>
      <c r="M97" s="5">
        <f>IF(J97="","",J97+16)</f>
        <v/>
      </c>
      <c r="N97" s="4">
        <f>IF(OR(I97="Contacted",I97="Terms sent"),IF(TODAY()&gt;=M97,"Close (step 3)",IF(TODAY()&gt;=L97,"Follow-up 2",IF(TODAY()&gt;=K97,"Follow-up 1",""))),IF(I97="Shortlisted",IF(G97="","Score it",""),""))</f>
        <v/>
      </c>
      <c r="O97" s="5" t="n"/>
      <c r="P97" s="4" t="n"/>
      <c r="Q97" s="4" t="n"/>
      <c r="R97" s="5" t="n"/>
      <c r="S97" s="4" t="n"/>
      <c r="T97" s="4" t="n"/>
      <c r="U97" s="13" t="n"/>
      <c r="V97" s="13" t="n"/>
      <c r="W97" s="13" t="n"/>
      <c r="X97" s="14" t="n"/>
      <c r="Y97" s="14" t="n"/>
      <c r="Z97" s="8" t="n"/>
    </row>
    <row r="98">
      <c r="A98" s="4" t="n"/>
      <c r="B98" s="8" t="n"/>
      <c r="C98" s="4" t="n"/>
      <c r="D98" s="4" t="n"/>
      <c r="E98" s="4" t="n"/>
      <c r="F98" s="12" t="n"/>
      <c r="G98" s="4" t="n"/>
      <c r="H98" s="4" t="n"/>
      <c r="I98" s="4" t="n"/>
      <c r="J98" s="5" t="n"/>
      <c r="K98" s="5">
        <f>IF(J98="","",J98+4)</f>
        <v/>
      </c>
      <c r="L98" s="5">
        <f>IF(J98="","",J98+9)</f>
        <v/>
      </c>
      <c r="M98" s="5">
        <f>IF(J98="","",J98+16)</f>
        <v/>
      </c>
      <c r="N98" s="4">
        <f>IF(OR(I98="Contacted",I98="Terms sent"),IF(TODAY()&gt;=M98,"Close (step 3)",IF(TODAY()&gt;=L98,"Follow-up 2",IF(TODAY()&gt;=K98,"Follow-up 1",""))),IF(I98="Shortlisted",IF(G98="","Score it",""),""))</f>
        <v/>
      </c>
      <c r="O98" s="5" t="n"/>
      <c r="P98" s="4" t="n"/>
      <c r="Q98" s="4" t="n"/>
      <c r="R98" s="5" t="n"/>
      <c r="S98" s="4" t="n"/>
      <c r="T98" s="4" t="n"/>
      <c r="U98" s="13" t="n"/>
      <c r="V98" s="13" t="n"/>
      <c r="W98" s="13" t="n"/>
      <c r="X98" s="14" t="n"/>
      <c r="Y98" s="14" t="n"/>
      <c r="Z98" s="8" t="n"/>
    </row>
    <row r="99">
      <c r="A99" s="4" t="n"/>
      <c r="B99" s="8" t="n"/>
      <c r="C99" s="4" t="n"/>
      <c r="D99" s="4" t="n"/>
      <c r="E99" s="4" t="n"/>
      <c r="F99" s="12" t="n"/>
      <c r="G99" s="4" t="n"/>
      <c r="H99" s="4" t="n"/>
      <c r="I99" s="4" t="n"/>
      <c r="J99" s="5" t="n"/>
      <c r="K99" s="5">
        <f>IF(J99="","",J99+4)</f>
        <v/>
      </c>
      <c r="L99" s="5">
        <f>IF(J99="","",J99+9)</f>
        <v/>
      </c>
      <c r="M99" s="5">
        <f>IF(J99="","",J99+16)</f>
        <v/>
      </c>
      <c r="N99" s="4">
        <f>IF(OR(I99="Contacted",I99="Terms sent"),IF(TODAY()&gt;=M99,"Close (step 3)",IF(TODAY()&gt;=L99,"Follow-up 2",IF(TODAY()&gt;=K99,"Follow-up 1",""))),IF(I99="Shortlisted",IF(G99="","Score it",""),""))</f>
        <v/>
      </c>
      <c r="O99" s="5" t="n"/>
      <c r="P99" s="4" t="n"/>
      <c r="Q99" s="4" t="n"/>
      <c r="R99" s="5" t="n"/>
      <c r="S99" s="4" t="n"/>
      <c r="T99" s="4" t="n"/>
      <c r="U99" s="13" t="n"/>
      <c r="V99" s="13" t="n"/>
      <c r="W99" s="13" t="n"/>
      <c r="X99" s="14" t="n"/>
      <c r="Y99" s="14" t="n"/>
      <c r="Z99" s="8" t="n"/>
    </row>
    <row r="100">
      <c r="A100" s="4" t="n"/>
      <c r="B100" s="8" t="n"/>
      <c r="C100" s="4" t="n"/>
      <c r="D100" s="4" t="n"/>
      <c r="E100" s="4" t="n"/>
      <c r="F100" s="12" t="n"/>
      <c r="G100" s="4" t="n"/>
      <c r="H100" s="4" t="n"/>
      <c r="I100" s="4" t="n"/>
      <c r="J100" s="5" t="n"/>
      <c r="K100" s="5">
        <f>IF(J100="","",J100+4)</f>
        <v/>
      </c>
      <c r="L100" s="5">
        <f>IF(J100="","",J100+9)</f>
        <v/>
      </c>
      <c r="M100" s="5">
        <f>IF(J100="","",J100+16)</f>
        <v/>
      </c>
      <c r="N100" s="4">
        <f>IF(OR(I100="Contacted",I100="Terms sent"),IF(TODAY()&gt;=M100,"Close (step 3)",IF(TODAY()&gt;=L100,"Follow-up 2",IF(TODAY()&gt;=K100,"Follow-up 1",""))),IF(I100="Shortlisted",IF(G100="","Score it",""),""))</f>
        <v/>
      </c>
      <c r="O100" s="5" t="n"/>
      <c r="P100" s="4" t="n"/>
      <c r="Q100" s="4" t="n"/>
      <c r="R100" s="5" t="n"/>
      <c r="S100" s="4" t="n"/>
      <c r="T100" s="4" t="n"/>
      <c r="U100" s="13" t="n"/>
      <c r="V100" s="13" t="n"/>
      <c r="W100" s="13" t="n"/>
      <c r="X100" s="14" t="n"/>
      <c r="Y100" s="14" t="n"/>
      <c r="Z100" s="8" t="n"/>
    </row>
    <row r="101">
      <c r="A101" s="4" t="n"/>
      <c r="B101" s="8" t="n"/>
      <c r="C101" s="4" t="n"/>
      <c r="D101" s="4" t="n"/>
      <c r="E101" s="4" t="n"/>
      <c r="F101" s="12" t="n"/>
      <c r="G101" s="4" t="n"/>
      <c r="H101" s="4" t="n"/>
      <c r="I101" s="4" t="n"/>
      <c r="J101" s="5" t="n"/>
      <c r="K101" s="5">
        <f>IF(J101="","",J101+4)</f>
        <v/>
      </c>
      <c r="L101" s="5">
        <f>IF(J101="","",J101+9)</f>
        <v/>
      </c>
      <c r="M101" s="5">
        <f>IF(J101="","",J101+16)</f>
        <v/>
      </c>
      <c r="N101" s="4">
        <f>IF(OR(I101="Contacted",I101="Terms sent"),IF(TODAY()&gt;=M101,"Close (step 3)",IF(TODAY()&gt;=L101,"Follow-up 2",IF(TODAY()&gt;=K101,"Follow-up 1",""))),IF(I101="Shortlisted",IF(G101="","Score it",""),""))</f>
        <v/>
      </c>
      <c r="O101" s="5" t="n"/>
      <c r="P101" s="4" t="n"/>
      <c r="Q101" s="4" t="n"/>
      <c r="R101" s="5" t="n"/>
      <c r="S101" s="4" t="n"/>
      <c r="T101" s="4" t="n"/>
      <c r="U101" s="13" t="n"/>
      <c r="V101" s="13" t="n"/>
      <c r="W101" s="13" t="n"/>
      <c r="X101" s="14" t="n"/>
      <c r="Y101" s="14" t="n"/>
      <c r="Z101" s="8" t="n"/>
    </row>
    <row r="102">
      <c r="A102" s="4" t="n"/>
      <c r="B102" s="8" t="n"/>
      <c r="C102" s="4" t="n"/>
      <c r="D102" s="4" t="n"/>
      <c r="E102" s="4" t="n"/>
      <c r="F102" s="12" t="n"/>
      <c r="G102" s="4" t="n"/>
      <c r="H102" s="4" t="n"/>
      <c r="I102" s="4" t="n"/>
      <c r="J102" s="5" t="n"/>
      <c r="K102" s="5">
        <f>IF(J102="","",J102+4)</f>
        <v/>
      </c>
      <c r="L102" s="5">
        <f>IF(J102="","",J102+9)</f>
        <v/>
      </c>
      <c r="M102" s="5">
        <f>IF(J102="","",J102+16)</f>
        <v/>
      </c>
      <c r="N102" s="4">
        <f>IF(OR(I102="Contacted",I102="Terms sent"),IF(TODAY()&gt;=M102,"Close (step 3)",IF(TODAY()&gt;=L102,"Follow-up 2",IF(TODAY()&gt;=K102,"Follow-up 1",""))),IF(I102="Shortlisted",IF(G102="","Score it",""),""))</f>
        <v/>
      </c>
      <c r="O102" s="5" t="n"/>
      <c r="P102" s="4" t="n"/>
      <c r="Q102" s="4" t="n"/>
      <c r="R102" s="5" t="n"/>
      <c r="S102" s="4" t="n"/>
      <c r="T102" s="4" t="n"/>
      <c r="U102" s="13" t="n"/>
      <c r="V102" s="13" t="n"/>
      <c r="W102" s="13" t="n"/>
      <c r="X102" s="14" t="n"/>
      <c r="Y102" s="14" t="n"/>
      <c r="Z102" s="8" t="n"/>
    </row>
    <row r="103">
      <c r="A103" s="4" t="n"/>
      <c r="B103" s="8" t="n"/>
      <c r="C103" s="4" t="n"/>
      <c r="D103" s="4" t="n"/>
      <c r="E103" s="4" t="n"/>
      <c r="F103" s="12" t="n"/>
      <c r="G103" s="4" t="n"/>
      <c r="H103" s="4" t="n"/>
      <c r="I103" s="4" t="n"/>
      <c r="J103" s="5" t="n"/>
      <c r="K103" s="5">
        <f>IF(J103="","",J103+4)</f>
        <v/>
      </c>
      <c r="L103" s="5">
        <f>IF(J103="","",J103+9)</f>
        <v/>
      </c>
      <c r="M103" s="5">
        <f>IF(J103="","",J103+16)</f>
        <v/>
      </c>
      <c r="N103" s="4">
        <f>IF(OR(I103="Contacted",I103="Terms sent"),IF(TODAY()&gt;=M103,"Close (step 3)",IF(TODAY()&gt;=L103,"Follow-up 2",IF(TODAY()&gt;=K103,"Follow-up 1",""))),IF(I103="Shortlisted",IF(G103="","Score it",""),""))</f>
        <v/>
      </c>
      <c r="O103" s="5" t="n"/>
      <c r="P103" s="4" t="n"/>
      <c r="Q103" s="4" t="n"/>
      <c r="R103" s="5" t="n"/>
      <c r="S103" s="4" t="n"/>
      <c r="T103" s="4" t="n"/>
      <c r="U103" s="13" t="n"/>
      <c r="V103" s="13" t="n"/>
      <c r="W103" s="13" t="n"/>
      <c r="X103" s="14" t="n"/>
      <c r="Y103" s="14" t="n"/>
      <c r="Z103" s="8" t="n"/>
    </row>
    <row r="104">
      <c r="A104" s="4" t="n"/>
      <c r="B104" s="8" t="n"/>
      <c r="C104" s="4" t="n"/>
      <c r="D104" s="4" t="n"/>
      <c r="E104" s="4" t="n"/>
      <c r="F104" s="12" t="n"/>
      <c r="G104" s="4" t="n"/>
      <c r="H104" s="4" t="n"/>
      <c r="I104" s="4" t="n"/>
      <c r="J104" s="5" t="n"/>
      <c r="K104" s="5">
        <f>IF(J104="","",J104+4)</f>
        <v/>
      </c>
      <c r="L104" s="5">
        <f>IF(J104="","",J104+9)</f>
        <v/>
      </c>
      <c r="M104" s="5">
        <f>IF(J104="","",J104+16)</f>
        <v/>
      </c>
      <c r="N104" s="4">
        <f>IF(OR(I104="Contacted",I104="Terms sent"),IF(TODAY()&gt;=M104,"Close (step 3)",IF(TODAY()&gt;=L104,"Follow-up 2",IF(TODAY()&gt;=K104,"Follow-up 1",""))),IF(I104="Shortlisted",IF(G104="","Score it",""),""))</f>
        <v/>
      </c>
      <c r="O104" s="5" t="n"/>
      <c r="P104" s="4" t="n"/>
      <c r="Q104" s="4" t="n"/>
      <c r="R104" s="5" t="n"/>
      <c r="S104" s="4" t="n"/>
      <c r="T104" s="4" t="n"/>
      <c r="U104" s="13" t="n"/>
      <c r="V104" s="13" t="n"/>
      <c r="W104" s="13" t="n"/>
      <c r="X104" s="14" t="n"/>
      <c r="Y104" s="14" t="n"/>
      <c r="Z104" s="8" t="n"/>
    </row>
    <row r="105">
      <c r="A105" s="4" t="n"/>
      <c r="B105" s="8" t="n"/>
      <c r="C105" s="4" t="n"/>
      <c r="D105" s="4" t="n"/>
      <c r="E105" s="4" t="n"/>
      <c r="F105" s="12" t="n"/>
      <c r="G105" s="4" t="n"/>
      <c r="H105" s="4" t="n"/>
      <c r="I105" s="4" t="n"/>
      <c r="J105" s="5" t="n"/>
      <c r="K105" s="5">
        <f>IF(J105="","",J105+4)</f>
        <v/>
      </c>
      <c r="L105" s="5">
        <f>IF(J105="","",J105+9)</f>
        <v/>
      </c>
      <c r="M105" s="5">
        <f>IF(J105="","",J105+16)</f>
        <v/>
      </c>
      <c r="N105" s="4">
        <f>IF(OR(I105="Contacted",I105="Terms sent"),IF(TODAY()&gt;=M105,"Close (step 3)",IF(TODAY()&gt;=L105,"Follow-up 2",IF(TODAY()&gt;=K105,"Follow-up 1",""))),IF(I105="Shortlisted",IF(G105="","Score it",""),""))</f>
        <v/>
      </c>
      <c r="O105" s="5" t="n"/>
      <c r="P105" s="4" t="n"/>
      <c r="Q105" s="4" t="n"/>
      <c r="R105" s="5" t="n"/>
      <c r="S105" s="4" t="n"/>
      <c r="T105" s="4" t="n"/>
      <c r="U105" s="13" t="n"/>
      <c r="V105" s="13" t="n"/>
      <c r="W105" s="13" t="n"/>
      <c r="X105" s="14" t="n"/>
      <c r="Y105" s="14" t="n"/>
      <c r="Z105" s="8" t="n"/>
    </row>
    <row r="106">
      <c r="A106" s="4" t="n"/>
      <c r="B106" s="8" t="n"/>
      <c r="C106" s="4" t="n"/>
      <c r="D106" s="4" t="n"/>
      <c r="E106" s="4" t="n"/>
      <c r="F106" s="12" t="n"/>
      <c r="G106" s="4" t="n"/>
      <c r="H106" s="4" t="n"/>
      <c r="I106" s="4" t="n"/>
      <c r="J106" s="5" t="n"/>
      <c r="K106" s="5">
        <f>IF(J106="","",J106+4)</f>
        <v/>
      </c>
      <c r="L106" s="5">
        <f>IF(J106="","",J106+9)</f>
        <v/>
      </c>
      <c r="M106" s="5">
        <f>IF(J106="","",J106+16)</f>
        <v/>
      </c>
      <c r="N106" s="4">
        <f>IF(OR(I106="Contacted",I106="Terms sent"),IF(TODAY()&gt;=M106,"Close (step 3)",IF(TODAY()&gt;=L106,"Follow-up 2",IF(TODAY()&gt;=K106,"Follow-up 1",""))),IF(I106="Shortlisted",IF(G106="","Score it",""),""))</f>
        <v/>
      </c>
      <c r="O106" s="5" t="n"/>
      <c r="P106" s="4" t="n"/>
      <c r="Q106" s="4" t="n"/>
      <c r="R106" s="5" t="n"/>
      <c r="S106" s="4" t="n"/>
      <c r="T106" s="4" t="n"/>
      <c r="U106" s="13" t="n"/>
      <c r="V106" s="13" t="n"/>
      <c r="W106" s="13" t="n"/>
      <c r="X106" s="14" t="n"/>
      <c r="Y106" s="14" t="n"/>
      <c r="Z106" s="8" t="n"/>
    </row>
    <row r="107">
      <c r="A107" s="4" t="n"/>
      <c r="B107" s="8" t="n"/>
      <c r="C107" s="4" t="n"/>
      <c r="D107" s="4" t="n"/>
      <c r="E107" s="4" t="n"/>
      <c r="F107" s="12" t="n"/>
      <c r="G107" s="4" t="n"/>
      <c r="H107" s="4" t="n"/>
      <c r="I107" s="4" t="n"/>
      <c r="J107" s="5" t="n"/>
      <c r="K107" s="5">
        <f>IF(J107="","",J107+4)</f>
        <v/>
      </c>
      <c r="L107" s="5">
        <f>IF(J107="","",J107+9)</f>
        <v/>
      </c>
      <c r="M107" s="5">
        <f>IF(J107="","",J107+16)</f>
        <v/>
      </c>
      <c r="N107" s="4">
        <f>IF(OR(I107="Contacted",I107="Terms sent"),IF(TODAY()&gt;=M107,"Close (step 3)",IF(TODAY()&gt;=L107,"Follow-up 2",IF(TODAY()&gt;=K107,"Follow-up 1",""))),IF(I107="Shortlisted",IF(G107="","Score it",""),""))</f>
        <v/>
      </c>
      <c r="O107" s="5" t="n"/>
      <c r="P107" s="4" t="n"/>
      <c r="Q107" s="4" t="n"/>
      <c r="R107" s="5" t="n"/>
      <c r="S107" s="4" t="n"/>
      <c r="T107" s="4" t="n"/>
      <c r="U107" s="13" t="n"/>
      <c r="V107" s="13" t="n"/>
      <c r="W107" s="13" t="n"/>
      <c r="X107" s="14" t="n"/>
      <c r="Y107" s="14" t="n"/>
      <c r="Z107" s="8" t="n"/>
    </row>
    <row r="108">
      <c r="A108" s="4" t="n"/>
      <c r="B108" s="8" t="n"/>
      <c r="C108" s="4" t="n"/>
      <c r="D108" s="4" t="n"/>
      <c r="E108" s="4" t="n"/>
      <c r="F108" s="12" t="n"/>
      <c r="G108" s="4" t="n"/>
      <c r="H108" s="4" t="n"/>
      <c r="I108" s="4" t="n"/>
      <c r="J108" s="5" t="n"/>
      <c r="K108" s="5">
        <f>IF(J108="","",J108+4)</f>
        <v/>
      </c>
      <c r="L108" s="5">
        <f>IF(J108="","",J108+9)</f>
        <v/>
      </c>
      <c r="M108" s="5">
        <f>IF(J108="","",J108+16)</f>
        <v/>
      </c>
      <c r="N108" s="4">
        <f>IF(OR(I108="Contacted",I108="Terms sent"),IF(TODAY()&gt;=M108,"Close (step 3)",IF(TODAY()&gt;=L108,"Follow-up 2",IF(TODAY()&gt;=K108,"Follow-up 1",""))),IF(I108="Shortlisted",IF(G108="","Score it",""),""))</f>
        <v/>
      </c>
      <c r="O108" s="5" t="n"/>
      <c r="P108" s="4" t="n"/>
      <c r="Q108" s="4" t="n"/>
      <c r="R108" s="5" t="n"/>
      <c r="S108" s="4" t="n"/>
      <c r="T108" s="4" t="n"/>
      <c r="U108" s="13" t="n"/>
      <c r="V108" s="13" t="n"/>
      <c r="W108" s="13" t="n"/>
      <c r="X108" s="14" t="n"/>
      <c r="Y108" s="14" t="n"/>
      <c r="Z108" s="8" t="n"/>
    </row>
    <row r="109">
      <c r="A109" s="4" t="n"/>
      <c r="B109" s="8" t="n"/>
      <c r="C109" s="4" t="n"/>
      <c r="D109" s="4" t="n"/>
      <c r="E109" s="4" t="n"/>
      <c r="F109" s="12" t="n"/>
      <c r="G109" s="4" t="n"/>
      <c r="H109" s="4" t="n"/>
      <c r="I109" s="4" t="n"/>
      <c r="J109" s="5" t="n"/>
      <c r="K109" s="5">
        <f>IF(J109="","",J109+4)</f>
        <v/>
      </c>
      <c r="L109" s="5">
        <f>IF(J109="","",J109+9)</f>
        <v/>
      </c>
      <c r="M109" s="5">
        <f>IF(J109="","",J109+16)</f>
        <v/>
      </c>
      <c r="N109" s="4">
        <f>IF(OR(I109="Contacted",I109="Terms sent"),IF(TODAY()&gt;=M109,"Close (step 3)",IF(TODAY()&gt;=L109,"Follow-up 2",IF(TODAY()&gt;=K109,"Follow-up 1",""))),IF(I109="Shortlisted",IF(G109="","Score it",""),""))</f>
        <v/>
      </c>
      <c r="O109" s="5" t="n"/>
      <c r="P109" s="4" t="n"/>
      <c r="Q109" s="4" t="n"/>
      <c r="R109" s="5" t="n"/>
      <c r="S109" s="4" t="n"/>
      <c r="T109" s="4" t="n"/>
      <c r="U109" s="13" t="n"/>
      <c r="V109" s="13" t="n"/>
      <c r="W109" s="13" t="n"/>
      <c r="X109" s="14" t="n"/>
      <c r="Y109" s="14" t="n"/>
      <c r="Z109" s="8" t="n"/>
    </row>
    <row r="110">
      <c r="A110" s="4" t="n"/>
      <c r="B110" s="8" t="n"/>
      <c r="C110" s="4" t="n"/>
      <c r="D110" s="4" t="n"/>
      <c r="E110" s="4" t="n"/>
      <c r="F110" s="12" t="n"/>
      <c r="G110" s="4" t="n"/>
      <c r="H110" s="4" t="n"/>
      <c r="I110" s="4" t="n"/>
      <c r="J110" s="5" t="n"/>
      <c r="K110" s="5">
        <f>IF(J110="","",J110+4)</f>
        <v/>
      </c>
      <c r="L110" s="5">
        <f>IF(J110="","",J110+9)</f>
        <v/>
      </c>
      <c r="M110" s="5">
        <f>IF(J110="","",J110+16)</f>
        <v/>
      </c>
      <c r="N110" s="4">
        <f>IF(OR(I110="Contacted",I110="Terms sent"),IF(TODAY()&gt;=M110,"Close (step 3)",IF(TODAY()&gt;=L110,"Follow-up 2",IF(TODAY()&gt;=K110,"Follow-up 1",""))),IF(I110="Shortlisted",IF(G110="","Score it",""),""))</f>
        <v/>
      </c>
      <c r="O110" s="5" t="n"/>
      <c r="P110" s="4" t="n"/>
      <c r="Q110" s="4" t="n"/>
      <c r="R110" s="5" t="n"/>
      <c r="S110" s="4" t="n"/>
      <c r="T110" s="4" t="n"/>
      <c r="U110" s="13" t="n"/>
      <c r="V110" s="13" t="n"/>
      <c r="W110" s="13" t="n"/>
      <c r="X110" s="14" t="n"/>
      <c r="Y110" s="14" t="n"/>
      <c r="Z110" s="8" t="n"/>
    </row>
    <row r="111">
      <c r="A111" s="4" t="n"/>
      <c r="B111" s="8" t="n"/>
      <c r="C111" s="4" t="n"/>
      <c r="D111" s="4" t="n"/>
      <c r="E111" s="4" t="n"/>
      <c r="F111" s="12" t="n"/>
      <c r="G111" s="4" t="n"/>
      <c r="H111" s="4" t="n"/>
      <c r="I111" s="4" t="n"/>
      <c r="J111" s="5" t="n"/>
      <c r="K111" s="5">
        <f>IF(J111="","",J111+4)</f>
        <v/>
      </c>
      <c r="L111" s="5">
        <f>IF(J111="","",J111+9)</f>
        <v/>
      </c>
      <c r="M111" s="5">
        <f>IF(J111="","",J111+16)</f>
        <v/>
      </c>
      <c r="N111" s="4">
        <f>IF(OR(I111="Contacted",I111="Terms sent"),IF(TODAY()&gt;=M111,"Close (step 3)",IF(TODAY()&gt;=L111,"Follow-up 2",IF(TODAY()&gt;=K111,"Follow-up 1",""))),IF(I111="Shortlisted",IF(G111="","Score it",""),""))</f>
        <v/>
      </c>
      <c r="O111" s="5" t="n"/>
      <c r="P111" s="4" t="n"/>
      <c r="Q111" s="4" t="n"/>
      <c r="R111" s="5" t="n"/>
      <c r="S111" s="4" t="n"/>
      <c r="T111" s="4" t="n"/>
      <c r="U111" s="13" t="n"/>
      <c r="V111" s="13" t="n"/>
      <c r="W111" s="13" t="n"/>
      <c r="X111" s="14" t="n"/>
      <c r="Y111" s="14" t="n"/>
      <c r="Z111" s="8" t="n"/>
    </row>
    <row r="112">
      <c r="A112" s="4" t="n"/>
      <c r="B112" s="8" t="n"/>
      <c r="C112" s="4" t="n"/>
      <c r="D112" s="4" t="n"/>
      <c r="E112" s="4" t="n"/>
      <c r="F112" s="12" t="n"/>
      <c r="G112" s="4" t="n"/>
      <c r="H112" s="4" t="n"/>
      <c r="I112" s="4" t="n"/>
      <c r="J112" s="5" t="n"/>
      <c r="K112" s="5">
        <f>IF(J112="","",J112+4)</f>
        <v/>
      </c>
      <c r="L112" s="5">
        <f>IF(J112="","",J112+9)</f>
        <v/>
      </c>
      <c r="M112" s="5">
        <f>IF(J112="","",J112+16)</f>
        <v/>
      </c>
      <c r="N112" s="4">
        <f>IF(OR(I112="Contacted",I112="Terms sent"),IF(TODAY()&gt;=M112,"Close (step 3)",IF(TODAY()&gt;=L112,"Follow-up 2",IF(TODAY()&gt;=K112,"Follow-up 1",""))),IF(I112="Shortlisted",IF(G112="","Score it",""),""))</f>
        <v/>
      </c>
      <c r="O112" s="5" t="n"/>
      <c r="P112" s="4" t="n"/>
      <c r="Q112" s="4" t="n"/>
      <c r="R112" s="5" t="n"/>
      <c r="S112" s="4" t="n"/>
      <c r="T112" s="4" t="n"/>
      <c r="U112" s="13" t="n"/>
      <c r="V112" s="13" t="n"/>
      <c r="W112" s="13" t="n"/>
      <c r="X112" s="14" t="n"/>
      <c r="Y112" s="14" t="n"/>
      <c r="Z112" s="8" t="n"/>
    </row>
    <row r="113">
      <c r="A113" s="4" t="n"/>
      <c r="B113" s="8" t="n"/>
      <c r="C113" s="4" t="n"/>
      <c r="D113" s="4" t="n"/>
      <c r="E113" s="4" t="n"/>
      <c r="F113" s="12" t="n"/>
      <c r="G113" s="4" t="n"/>
      <c r="H113" s="4" t="n"/>
      <c r="I113" s="4" t="n"/>
      <c r="J113" s="5" t="n"/>
      <c r="K113" s="5">
        <f>IF(J113="","",J113+4)</f>
        <v/>
      </c>
      <c r="L113" s="5">
        <f>IF(J113="","",J113+9)</f>
        <v/>
      </c>
      <c r="M113" s="5">
        <f>IF(J113="","",J113+16)</f>
        <v/>
      </c>
      <c r="N113" s="4">
        <f>IF(OR(I113="Contacted",I113="Terms sent"),IF(TODAY()&gt;=M113,"Close (step 3)",IF(TODAY()&gt;=L113,"Follow-up 2",IF(TODAY()&gt;=K113,"Follow-up 1",""))),IF(I113="Shortlisted",IF(G113="","Score it",""),""))</f>
        <v/>
      </c>
      <c r="O113" s="5" t="n"/>
      <c r="P113" s="4" t="n"/>
      <c r="Q113" s="4" t="n"/>
      <c r="R113" s="5" t="n"/>
      <c r="S113" s="4" t="n"/>
      <c r="T113" s="4" t="n"/>
      <c r="U113" s="13" t="n"/>
      <c r="V113" s="13" t="n"/>
      <c r="W113" s="13" t="n"/>
      <c r="X113" s="14" t="n"/>
      <c r="Y113" s="14" t="n"/>
      <c r="Z113" s="8" t="n"/>
    </row>
    <row r="114">
      <c r="A114" s="4" t="n"/>
      <c r="B114" s="8" t="n"/>
      <c r="C114" s="4" t="n"/>
      <c r="D114" s="4" t="n"/>
      <c r="E114" s="4" t="n"/>
      <c r="F114" s="12" t="n"/>
      <c r="G114" s="4" t="n"/>
      <c r="H114" s="4" t="n"/>
      <c r="I114" s="4" t="n"/>
      <c r="J114" s="5" t="n"/>
      <c r="K114" s="5">
        <f>IF(J114="","",J114+4)</f>
        <v/>
      </c>
      <c r="L114" s="5">
        <f>IF(J114="","",J114+9)</f>
        <v/>
      </c>
      <c r="M114" s="5">
        <f>IF(J114="","",J114+16)</f>
        <v/>
      </c>
      <c r="N114" s="4">
        <f>IF(OR(I114="Contacted",I114="Terms sent"),IF(TODAY()&gt;=M114,"Close (step 3)",IF(TODAY()&gt;=L114,"Follow-up 2",IF(TODAY()&gt;=K114,"Follow-up 1",""))),IF(I114="Shortlisted",IF(G114="","Score it",""),""))</f>
        <v/>
      </c>
      <c r="O114" s="5" t="n"/>
      <c r="P114" s="4" t="n"/>
      <c r="Q114" s="4" t="n"/>
      <c r="R114" s="5" t="n"/>
      <c r="S114" s="4" t="n"/>
      <c r="T114" s="4" t="n"/>
      <c r="U114" s="13" t="n"/>
      <c r="V114" s="13" t="n"/>
      <c r="W114" s="13" t="n"/>
      <c r="X114" s="14" t="n"/>
      <c r="Y114" s="14" t="n"/>
      <c r="Z114" s="8" t="n"/>
    </row>
    <row r="115">
      <c r="A115" s="4" t="n"/>
      <c r="B115" s="8" t="n"/>
      <c r="C115" s="4" t="n"/>
      <c r="D115" s="4" t="n"/>
      <c r="E115" s="4" t="n"/>
      <c r="F115" s="12" t="n"/>
      <c r="G115" s="4" t="n"/>
      <c r="H115" s="4" t="n"/>
      <c r="I115" s="4" t="n"/>
      <c r="J115" s="5" t="n"/>
      <c r="K115" s="5">
        <f>IF(J115="","",J115+4)</f>
        <v/>
      </c>
      <c r="L115" s="5">
        <f>IF(J115="","",J115+9)</f>
        <v/>
      </c>
      <c r="M115" s="5">
        <f>IF(J115="","",J115+16)</f>
        <v/>
      </c>
      <c r="N115" s="4">
        <f>IF(OR(I115="Contacted",I115="Terms sent"),IF(TODAY()&gt;=M115,"Close (step 3)",IF(TODAY()&gt;=L115,"Follow-up 2",IF(TODAY()&gt;=K115,"Follow-up 1",""))),IF(I115="Shortlisted",IF(G115="","Score it",""),""))</f>
        <v/>
      </c>
      <c r="O115" s="5" t="n"/>
      <c r="P115" s="4" t="n"/>
      <c r="Q115" s="4" t="n"/>
      <c r="R115" s="5" t="n"/>
      <c r="S115" s="4" t="n"/>
      <c r="T115" s="4" t="n"/>
      <c r="U115" s="13" t="n"/>
      <c r="V115" s="13" t="n"/>
      <c r="W115" s="13" t="n"/>
      <c r="X115" s="14" t="n"/>
      <c r="Y115" s="14" t="n"/>
      <c r="Z115" s="8" t="n"/>
    </row>
    <row r="116">
      <c r="A116" s="4" t="n"/>
      <c r="B116" s="8" t="n"/>
      <c r="C116" s="4" t="n"/>
      <c r="D116" s="4" t="n"/>
      <c r="E116" s="4" t="n"/>
      <c r="F116" s="12" t="n"/>
      <c r="G116" s="4" t="n"/>
      <c r="H116" s="4" t="n"/>
      <c r="I116" s="4" t="n"/>
      <c r="J116" s="5" t="n"/>
      <c r="K116" s="5">
        <f>IF(J116="","",J116+4)</f>
        <v/>
      </c>
      <c r="L116" s="5">
        <f>IF(J116="","",J116+9)</f>
        <v/>
      </c>
      <c r="M116" s="5">
        <f>IF(J116="","",J116+16)</f>
        <v/>
      </c>
      <c r="N116" s="4">
        <f>IF(OR(I116="Contacted",I116="Terms sent"),IF(TODAY()&gt;=M116,"Close (step 3)",IF(TODAY()&gt;=L116,"Follow-up 2",IF(TODAY()&gt;=K116,"Follow-up 1",""))),IF(I116="Shortlisted",IF(G116="","Score it",""),""))</f>
        <v/>
      </c>
      <c r="O116" s="5" t="n"/>
      <c r="P116" s="4" t="n"/>
      <c r="Q116" s="4" t="n"/>
      <c r="R116" s="5" t="n"/>
      <c r="S116" s="4" t="n"/>
      <c r="T116" s="4" t="n"/>
      <c r="U116" s="13" t="n"/>
      <c r="V116" s="13" t="n"/>
      <c r="W116" s="13" t="n"/>
      <c r="X116" s="14" t="n"/>
      <c r="Y116" s="14" t="n"/>
      <c r="Z116" s="8" t="n"/>
    </row>
    <row r="117">
      <c r="A117" s="4" t="n"/>
      <c r="B117" s="8" t="n"/>
      <c r="C117" s="4" t="n"/>
      <c r="D117" s="4" t="n"/>
      <c r="E117" s="4" t="n"/>
      <c r="F117" s="12" t="n"/>
      <c r="G117" s="4" t="n"/>
      <c r="H117" s="4" t="n"/>
      <c r="I117" s="4" t="n"/>
      <c r="J117" s="5" t="n"/>
      <c r="K117" s="5">
        <f>IF(J117="","",J117+4)</f>
        <v/>
      </c>
      <c r="L117" s="5">
        <f>IF(J117="","",J117+9)</f>
        <v/>
      </c>
      <c r="M117" s="5">
        <f>IF(J117="","",J117+16)</f>
        <v/>
      </c>
      <c r="N117" s="4">
        <f>IF(OR(I117="Contacted",I117="Terms sent"),IF(TODAY()&gt;=M117,"Close (step 3)",IF(TODAY()&gt;=L117,"Follow-up 2",IF(TODAY()&gt;=K117,"Follow-up 1",""))),IF(I117="Shortlisted",IF(G117="","Score it",""),""))</f>
        <v/>
      </c>
      <c r="O117" s="5" t="n"/>
      <c r="P117" s="4" t="n"/>
      <c r="Q117" s="4" t="n"/>
      <c r="R117" s="5" t="n"/>
      <c r="S117" s="4" t="n"/>
      <c r="T117" s="4" t="n"/>
      <c r="U117" s="13" t="n"/>
      <c r="V117" s="13" t="n"/>
      <c r="W117" s="13" t="n"/>
      <c r="X117" s="14" t="n"/>
      <c r="Y117" s="14" t="n"/>
      <c r="Z117" s="8" t="n"/>
    </row>
    <row r="118">
      <c r="A118" s="4" t="n"/>
      <c r="B118" s="8" t="n"/>
      <c r="C118" s="4" t="n"/>
      <c r="D118" s="4" t="n"/>
      <c r="E118" s="4" t="n"/>
      <c r="F118" s="12" t="n"/>
      <c r="G118" s="4" t="n"/>
      <c r="H118" s="4" t="n"/>
      <c r="I118" s="4" t="n"/>
      <c r="J118" s="5" t="n"/>
      <c r="K118" s="5">
        <f>IF(J118="","",J118+4)</f>
        <v/>
      </c>
      <c r="L118" s="5">
        <f>IF(J118="","",J118+9)</f>
        <v/>
      </c>
      <c r="M118" s="5">
        <f>IF(J118="","",J118+16)</f>
        <v/>
      </c>
      <c r="N118" s="4">
        <f>IF(OR(I118="Contacted",I118="Terms sent"),IF(TODAY()&gt;=M118,"Close (step 3)",IF(TODAY()&gt;=L118,"Follow-up 2",IF(TODAY()&gt;=K118,"Follow-up 1",""))),IF(I118="Shortlisted",IF(G118="","Score it",""),""))</f>
        <v/>
      </c>
      <c r="O118" s="5" t="n"/>
      <c r="P118" s="4" t="n"/>
      <c r="Q118" s="4" t="n"/>
      <c r="R118" s="5" t="n"/>
      <c r="S118" s="4" t="n"/>
      <c r="T118" s="4" t="n"/>
      <c r="U118" s="13" t="n"/>
      <c r="V118" s="13" t="n"/>
      <c r="W118" s="13" t="n"/>
      <c r="X118" s="14" t="n"/>
      <c r="Y118" s="14" t="n"/>
      <c r="Z118" s="8" t="n"/>
    </row>
    <row r="119">
      <c r="A119" s="4" t="n"/>
      <c r="B119" s="8" t="n"/>
      <c r="C119" s="4" t="n"/>
      <c r="D119" s="4" t="n"/>
      <c r="E119" s="4" t="n"/>
      <c r="F119" s="12" t="n"/>
      <c r="G119" s="4" t="n"/>
      <c r="H119" s="4" t="n"/>
      <c r="I119" s="4" t="n"/>
      <c r="J119" s="5" t="n"/>
      <c r="K119" s="5">
        <f>IF(J119="","",J119+4)</f>
        <v/>
      </c>
      <c r="L119" s="5">
        <f>IF(J119="","",J119+9)</f>
        <v/>
      </c>
      <c r="M119" s="5">
        <f>IF(J119="","",J119+16)</f>
        <v/>
      </c>
      <c r="N119" s="4">
        <f>IF(OR(I119="Contacted",I119="Terms sent"),IF(TODAY()&gt;=M119,"Close (step 3)",IF(TODAY()&gt;=L119,"Follow-up 2",IF(TODAY()&gt;=K119,"Follow-up 1",""))),IF(I119="Shortlisted",IF(G119="","Score it",""),""))</f>
        <v/>
      </c>
      <c r="O119" s="5" t="n"/>
      <c r="P119" s="4" t="n"/>
      <c r="Q119" s="4" t="n"/>
      <c r="R119" s="5" t="n"/>
      <c r="S119" s="4" t="n"/>
      <c r="T119" s="4" t="n"/>
      <c r="U119" s="13" t="n"/>
      <c r="V119" s="13" t="n"/>
      <c r="W119" s="13" t="n"/>
      <c r="X119" s="14" t="n"/>
      <c r="Y119" s="14" t="n"/>
      <c r="Z119" s="8" t="n"/>
    </row>
    <row r="120">
      <c r="A120" s="4" t="n"/>
      <c r="B120" s="8" t="n"/>
      <c r="C120" s="4" t="n"/>
      <c r="D120" s="4" t="n"/>
      <c r="E120" s="4" t="n"/>
      <c r="F120" s="12" t="n"/>
      <c r="G120" s="4" t="n"/>
      <c r="H120" s="4" t="n"/>
      <c r="I120" s="4" t="n"/>
      <c r="J120" s="5" t="n"/>
      <c r="K120" s="5">
        <f>IF(J120="","",J120+4)</f>
        <v/>
      </c>
      <c r="L120" s="5">
        <f>IF(J120="","",J120+9)</f>
        <v/>
      </c>
      <c r="M120" s="5">
        <f>IF(J120="","",J120+16)</f>
        <v/>
      </c>
      <c r="N120" s="4">
        <f>IF(OR(I120="Contacted",I120="Terms sent"),IF(TODAY()&gt;=M120,"Close (step 3)",IF(TODAY()&gt;=L120,"Follow-up 2",IF(TODAY()&gt;=K120,"Follow-up 1",""))),IF(I120="Shortlisted",IF(G120="","Score it",""),""))</f>
        <v/>
      </c>
      <c r="O120" s="5" t="n"/>
      <c r="P120" s="4" t="n"/>
      <c r="Q120" s="4" t="n"/>
      <c r="R120" s="5" t="n"/>
      <c r="S120" s="4" t="n"/>
      <c r="T120" s="4" t="n"/>
      <c r="U120" s="13" t="n"/>
      <c r="V120" s="13" t="n"/>
      <c r="W120" s="13" t="n"/>
      <c r="X120" s="14" t="n"/>
      <c r="Y120" s="14" t="n"/>
      <c r="Z120" s="8" t="n"/>
    </row>
    <row r="121">
      <c r="A121" s="4" t="n"/>
      <c r="B121" s="8" t="n"/>
      <c r="C121" s="4" t="n"/>
      <c r="D121" s="4" t="n"/>
      <c r="E121" s="4" t="n"/>
      <c r="F121" s="12" t="n"/>
      <c r="G121" s="4" t="n"/>
      <c r="H121" s="4" t="n"/>
      <c r="I121" s="4" t="n"/>
      <c r="J121" s="5" t="n"/>
      <c r="K121" s="5">
        <f>IF(J121="","",J121+4)</f>
        <v/>
      </c>
      <c r="L121" s="5">
        <f>IF(J121="","",J121+9)</f>
        <v/>
      </c>
      <c r="M121" s="5">
        <f>IF(J121="","",J121+16)</f>
        <v/>
      </c>
      <c r="N121" s="4">
        <f>IF(OR(I121="Contacted",I121="Terms sent"),IF(TODAY()&gt;=M121,"Close (step 3)",IF(TODAY()&gt;=L121,"Follow-up 2",IF(TODAY()&gt;=K121,"Follow-up 1",""))),IF(I121="Shortlisted",IF(G121="","Score it",""),""))</f>
        <v/>
      </c>
      <c r="O121" s="5" t="n"/>
      <c r="P121" s="4" t="n"/>
      <c r="Q121" s="4" t="n"/>
      <c r="R121" s="5" t="n"/>
      <c r="S121" s="4" t="n"/>
      <c r="T121" s="4" t="n"/>
      <c r="U121" s="13" t="n"/>
      <c r="V121" s="13" t="n"/>
      <c r="W121" s="13" t="n"/>
      <c r="X121" s="14" t="n"/>
      <c r="Y121" s="14" t="n"/>
      <c r="Z121" s="8" t="n"/>
    </row>
    <row r="122">
      <c r="A122" s="4" t="n"/>
      <c r="B122" s="8" t="n"/>
      <c r="C122" s="4" t="n"/>
      <c r="D122" s="4" t="n"/>
      <c r="E122" s="4" t="n"/>
      <c r="F122" s="12" t="n"/>
      <c r="G122" s="4" t="n"/>
      <c r="H122" s="4" t="n"/>
      <c r="I122" s="4" t="n"/>
      <c r="J122" s="5" t="n"/>
      <c r="K122" s="5">
        <f>IF(J122="","",J122+4)</f>
        <v/>
      </c>
      <c r="L122" s="5">
        <f>IF(J122="","",J122+9)</f>
        <v/>
      </c>
      <c r="M122" s="5">
        <f>IF(J122="","",J122+16)</f>
        <v/>
      </c>
      <c r="N122" s="4">
        <f>IF(OR(I122="Contacted",I122="Terms sent"),IF(TODAY()&gt;=M122,"Close (step 3)",IF(TODAY()&gt;=L122,"Follow-up 2",IF(TODAY()&gt;=K122,"Follow-up 1",""))),IF(I122="Shortlisted",IF(G122="","Score it",""),""))</f>
        <v/>
      </c>
      <c r="O122" s="5" t="n"/>
      <c r="P122" s="4" t="n"/>
      <c r="Q122" s="4" t="n"/>
      <c r="R122" s="5" t="n"/>
      <c r="S122" s="4" t="n"/>
      <c r="T122" s="4" t="n"/>
      <c r="U122" s="13" t="n"/>
      <c r="V122" s="13" t="n"/>
      <c r="W122" s="13" t="n"/>
      <c r="X122" s="14" t="n"/>
      <c r="Y122" s="14" t="n"/>
      <c r="Z122" s="8" t="n"/>
    </row>
    <row r="123">
      <c r="A123" s="4" t="n"/>
      <c r="B123" s="8" t="n"/>
      <c r="C123" s="4" t="n"/>
      <c r="D123" s="4" t="n"/>
      <c r="E123" s="4" t="n"/>
      <c r="F123" s="12" t="n"/>
      <c r="G123" s="4" t="n"/>
      <c r="H123" s="4" t="n"/>
      <c r="I123" s="4" t="n"/>
      <c r="J123" s="5" t="n"/>
      <c r="K123" s="5">
        <f>IF(J123="","",J123+4)</f>
        <v/>
      </c>
      <c r="L123" s="5">
        <f>IF(J123="","",J123+9)</f>
        <v/>
      </c>
      <c r="M123" s="5">
        <f>IF(J123="","",J123+16)</f>
        <v/>
      </c>
      <c r="N123" s="4">
        <f>IF(OR(I123="Contacted",I123="Terms sent"),IF(TODAY()&gt;=M123,"Close (step 3)",IF(TODAY()&gt;=L123,"Follow-up 2",IF(TODAY()&gt;=K123,"Follow-up 1",""))),IF(I123="Shortlisted",IF(G123="","Score it",""),""))</f>
        <v/>
      </c>
      <c r="O123" s="5" t="n"/>
      <c r="P123" s="4" t="n"/>
      <c r="Q123" s="4" t="n"/>
      <c r="R123" s="5" t="n"/>
      <c r="S123" s="4" t="n"/>
      <c r="T123" s="4" t="n"/>
      <c r="U123" s="13" t="n"/>
      <c r="V123" s="13" t="n"/>
      <c r="W123" s="13" t="n"/>
      <c r="X123" s="14" t="n"/>
      <c r="Y123" s="14" t="n"/>
      <c r="Z123" s="8" t="n"/>
    </row>
    <row r="124">
      <c r="A124" s="4" t="n"/>
      <c r="B124" s="8" t="n"/>
      <c r="C124" s="4" t="n"/>
      <c r="D124" s="4" t="n"/>
      <c r="E124" s="4" t="n"/>
      <c r="F124" s="12" t="n"/>
      <c r="G124" s="4" t="n"/>
      <c r="H124" s="4" t="n"/>
      <c r="I124" s="4" t="n"/>
      <c r="J124" s="5" t="n"/>
      <c r="K124" s="5">
        <f>IF(J124="","",J124+4)</f>
        <v/>
      </c>
      <c r="L124" s="5">
        <f>IF(J124="","",J124+9)</f>
        <v/>
      </c>
      <c r="M124" s="5">
        <f>IF(J124="","",J124+16)</f>
        <v/>
      </c>
      <c r="N124" s="4">
        <f>IF(OR(I124="Contacted",I124="Terms sent"),IF(TODAY()&gt;=M124,"Close (step 3)",IF(TODAY()&gt;=L124,"Follow-up 2",IF(TODAY()&gt;=K124,"Follow-up 1",""))),IF(I124="Shortlisted",IF(G124="","Score it",""),""))</f>
        <v/>
      </c>
      <c r="O124" s="5" t="n"/>
      <c r="P124" s="4" t="n"/>
      <c r="Q124" s="4" t="n"/>
      <c r="R124" s="5" t="n"/>
      <c r="S124" s="4" t="n"/>
      <c r="T124" s="4" t="n"/>
      <c r="U124" s="13" t="n"/>
      <c r="V124" s="13" t="n"/>
      <c r="W124" s="13" t="n"/>
      <c r="X124" s="14" t="n"/>
      <c r="Y124" s="14" t="n"/>
      <c r="Z124" s="8" t="n"/>
    </row>
    <row r="125">
      <c r="A125" s="4" t="n"/>
      <c r="B125" s="8" t="n"/>
      <c r="C125" s="4" t="n"/>
      <c r="D125" s="4" t="n"/>
      <c r="E125" s="4" t="n"/>
      <c r="F125" s="12" t="n"/>
      <c r="G125" s="4" t="n"/>
      <c r="H125" s="4" t="n"/>
      <c r="I125" s="4" t="n"/>
      <c r="J125" s="5" t="n"/>
      <c r="K125" s="5">
        <f>IF(J125="","",J125+4)</f>
        <v/>
      </c>
      <c r="L125" s="5">
        <f>IF(J125="","",J125+9)</f>
        <v/>
      </c>
      <c r="M125" s="5">
        <f>IF(J125="","",J125+16)</f>
        <v/>
      </c>
      <c r="N125" s="4">
        <f>IF(OR(I125="Contacted",I125="Terms sent"),IF(TODAY()&gt;=M125,"Close (step 3)",IF(TODAY()&gt;=L125,"Follow-up 2",IF(TODAY()&gt;=K125,"Follow-up 1",""))),IF(I125="Shortlisted",IF(G125="","Score it",""),""))</f>
        <v/>
      </c>
      <c r="O125" s="5" t="n"/>
      <c r="P125" s="4" t="n"/>
      <c r="Q125" s="4" t="n"/>
      <c r="R125" s="5" t="n"/>
      <c r="S125" s="4" t="n"/>
      <c r="T125" s="4" t="n"/>
      <c r="U125" s="13" t="n"/>
      <c r="V125" s="13" t="n"/>
      <c r="W125" s="13" t="n"/>
      <c r="X125" s="14" t="n"/>
      <c r="Y125" s="14" t="n"/>
      <c r="Z125" s="8" t="n"/>
    </row>
    <row r="126">
      <c r="A126" s="4" t="n"/>
      <c r="B126" s="8" t="n"/>
      <c r="C126" s="4" t="n"/>
      <c r="D126" s="4" t="n"/>
      <c r="E126" s="4" t="n"/>
      <c r="F126" s="12" t="n"/>
      <c r="G126" s="4" t="n"/>
      <c r="H126" s="4" t="n"/>
      <c r="I126" s="4" t="n"/>
      <c r="J126" s="5" t="n"/>
      <c r="K126" s="5">
        <f>IF(J126="","",J126+4)</f>
        <v/>
      </c>
      <c r="L126" s="5">
        <f>IF(J126="","",J126+9)</f>
        <v/>
      </c>
      <c r="M126" s="5">
        <f>IF(J126="","",J126+16)</f>
        <v/>
      </c>
      <c r="N126" s="4">
        <f>IF(OR(I126="Contacted",I126="Terms sent"),IF(TODAY()&gt;=M126,"Close (step 3)",IF(TODAY()&gt;=L126,"Follow-up 2",IF(TODAY()&gt;=K126,"Follow-up 1",""))),IF(I126="Shortlisted",IF(G126="","Score it",""),""))</f>
        <v/>
      </c>
      <c r="O126" s="5" t="n"/>
      <c r="P126" s="4" t="n"/>
      <c r="Q126" s="4" t="n"/>
      <c r="R126" s="5" t="n"/>
      <c r="S126" s="4" t="n"/>
      <c r="T126" s="4" t="n"/>
      <c r="U126" s="13" t="n"/>
      <c r="V126" s="13" t="n"/>
      <c r="W126" s="13" t="n"/>
      <c r="X126" s="14" t="n"/>
      <c r="Y126" s="14" t="n"/>
      <c r="Z126" s="8" t="n"/>
    </row>
    <row r="127">
      <c r="A127" s="4" t="n"/>
      <c r="B127" s="8" t="n"/>
      <c r="C127" s="4" t="n"/>
      <c r="D127" s="4" t="n"/>
      <c r="E127" s="4" t="n"/>
      <c r="F127" s="12" t="n"/>
      <c r="G127" s="4" t="n"/>
      <c r="H127" s="4" t="n"/>
      <c r="I127" s="4" t="n"/>
      <c r="J127" s="5" t="n"/>
      <c r="K127" s="5">
        <f>IF(J127="","",J127+4)</f>
        <v/>
      </c>
      <c r="L127" s="5">
        <f>IF(J127="","",J127+9)</f>
        <v/>
      </c>
      <c r="M127" s="5">
        <f>IF(J127="","",J127+16)</f>
        <v/>
      </c>
      <c r="N127" s="4">
        <f>IF(OR(I127="Contacted",I127="Terms sent"),IF(TODAY()&gt;=M127,"Close (step 3)",IF(TODAY()&gt;=L127,"Follow-up 2",IF(TODAY()&gt;=K127,"Follow-up 1",""))),IF(I127="Shortlisted",IF(G127="","Score it",""),""))</f>
        <v/>
      </c>
      <c r="O127" s="5" t="n"/>
      <c r="P127" s="4" t="n"/>
      <c r="Q127" s="4" t="n"/>
      <c r="R127" s="5" t="n"/>
      <c r="S127" s="4" t="n"/>
      <c r="T127" s="4" t="n"/>
      <c r="U127" s="13" t="n"/>
      <c r="V127" s="13" t="n"/>
      <c r="W127" s="13" t="n"/>
      <c r="X127" s="14" t="n"/>
      <c r="Y127" s="14" t="n"/>
      <c r="Z127" s="8" t="n"/>
    </row>
    <row r="128">
      <c r="A128" s="4" t="n"/>
      <c r="B128" s="8" t="n"/>
      <c r="C128" s="4" t="n"/>
      <c r="D128" s="4" t="n"/>
      <c r="E128" s="4" t="n"/>
      <c r="F128" s="12" t="n"/>
      <c r="G128" s="4" t="n"/>
      <c r="H128" s="4" t="n"/>
      <c r="I128" s="4" t="n"/>
      <c r="J128" s="5" t="n"/>
      <c r="K128" s="5">
        <f>IF(J128="","",J128+4)</f>
        <v/>
      </c>
      <c r="L128" s="5">
        <f>IF(J128="","",J128+9)</f>
        <v/>
      </c>
      <c r="M128" s="5">
        <f>IF(J128="","",J128+16)</f>
        <v/>
      </c>
      <c r="N128" s="4">
        <f>IF(OR(I128="Contacted",I128="Terms sent"),IF(TODAY()&gt;=M128,"Close (step 3)",IF(TODAY()&gt;=L128,"Follow-up 2",IF(TODAY()&gt;=K128,"Follow-up 1",""))),IF(I128="Shortlisted",IF(G128="","Score it",""),""))</f>
        <v/>
      </c>
      <c r="O128" s="5" t="n"/>
      <c r="P128" s="4" t="n"/>
      <c r="Q128" s="4" t="n"/>
      <c r="R128" s="5" t="n"/>
      <c r="S128" s="4" t="n"/>
      <c r="T128" s="4" t="n"/>
      <c r="U128" s="13" t="n"/>
      <c r="V128" s="13" t="n"/>
      <c r="W128" s="13" t="n"/>
      <c r="X128" s="14" t="n"/>
      <c r="Y128" s="14" t="n"/>
      <c r="Z128" s="8" t="n"/>
    </row>
    <row r="129">
      <c r="A129" s="4" t="n"/>
      <c r="B129" s="8" t="n"/>
      <c r="C129" s="4" t="n"/>
      <c r="D129" s="4" t="n"/>
      <c r="E129" s="4" t="n"/>
      <c r="F129" s="12" t="n"/>
      <c r="G129" s="4" t="n"/>
      <c r="H129" s="4" t="n"/>
      <c r="I129" s="4" t="n"/>
      <c r="J129" s="5" t="n"/>
      <c r="K129" s="5">
        <f>IF(J129="","",J129+4)</f>
        <v/>
      </c>
      <c r="L129" s="5">
        <f>IF(J129="","",J129+9)</f>
        <v/>
      </c>
      <c r="M129" s="5">
        <f>IF(J129="","",J129+16)</f>
        <v/>
      </c>
      <c r="N129" s="4">
        <f>IF(OR(I129="Contacted",I129="Terms sent"),IF(TODAY()&gt;=M129,"Close (step 3)",IF(TODAY()&gt;=L129,"Follow-up 2",IF(TODAY()&gt;=K129,"Follow-up 1",""))),IF(I129="Shortlisted",IF(G129="","Score it",""),""))</f>
        <v/>
      </c>
      <c r="O129" s="5" t="n"/>
      <c r="P129" s="4" t="n"/>
      <c r="Q129" s="4" t="n"/>
      <c r="R129" s="5" t="n"/>
      <c r="S129" s="4" t="n"/>
      <c r="T129" s="4" t="n"/>
      <c r="U129" s="13" t="n"/>
      <c r="V129" s="13" t="n"/>
      <c r="W129" s="13" t="n"/>
      <c r="X129" s="14" t="n"/>
      <c r="Y129" s="14" t="n"/>
      <c r="Z129" s="8" t="n"/>
    </row>
    <row r="130">
      <c r="A130" s="4" t="n"/>
      <c r="B130" s="8" t="n"/>
      <c r="C130" s="4" t="n"/>
      <c r="D130" s="4" t="n"/>
      <c r="E130" s="4" t="n"/>
      <c r="F130" s="12" t="n"/>
      <c r="G130" s="4" t="n"/>
      <c r="H130" s="4" t="n"/>
      <c r="I130" s="4" t="n"/>
      <c r="J130" s="5" t="n"/>
      <c r="K130" s="5">
        <f>IF(J130="","",J130+4)</f>
        <v/>
      </c>
      <c r="L130" s="5">
        <f>IF(J130="","",J130+9)</f>
        <v/>
      </c>
      <c r="M130" s="5">
        <f>IF(J130="","",J130+16)</f>
        <v/>
      </c>
      <c r="N130" s="4">
        <f>IF(OR(I130="Contacted",I130="Terms sent"),IF(TODAY()&gt;=M130,"Close (step 3)",IF(TODAY()&gt;=L130,"Follow-up 2",IF(TODAY()&gt;=K130,"Follow-up 1",""))),IF(I130="Shortlisted",IF(G130="","Score it",""),""))</f>
        <v/>
      </c>
      <c r="O130" s="5" t="n"/>
      <c r="P130" s="4" t="n"/>
      <c r="Q130" s="4" t="n"/>
      <c r="R130" s="5" t="n"/>
      <c r="S130" s="4" t="n"/>
      <c r="T130" s="4" t="n"/>
      <c r="U130" s="13" t="n"/>
      <c r="V130" s="13" t="n"/>
      <c r="W130" s="13" t="n"/>
      <c r="X130" s="14" t="n"/>
      <c r="Y130" s="14" t="n"/>
      <c r="Z130" s="8" t="n"/>
    </row>
    <row r="131">
      <c r="A131" s="4" t="n"/>
      <c r="B131" s="8" t="n"/>
      <c r="C131" s="4" t="n"/>
      <c r="D131" s="4" t="n"/>
      <c r="E131" s="4" t="n"/>
      <c r="F131" s="12" t="n"/>
      <c r="G131" s="4" t="n"/>
      <c r="H131" s="4" t="n"/>
      <c r="I131" s="4" t="n"/>
      <c r="J131" s="5" t="n"/>
      <c r="K131" s="5">
        <f>IF(J131="","",J131+4)</f>
        <v/>
      </c>
      <c r="L131" s="5">
        <f>IF(J131="","",J131+9)</f>
        <v/>
      </c>
      <c r="M131" s="5">
        <f>IF(J131="","",J131+16)</f>
        <v/>
      </c>
      <c r="N131" s="4">
        <f>IF(OR(I131="Contacted",I131="Terms sent"),IF(TODAY()&gt;=M131,"Close (step 3)",IF(TODAY()&gt;=L131,"Follow-up 2",IF(TODAY()&gt;=K131,"Follow-up 1",""))),IF(I131="Shortlisted",IF(G131="","Score it",""),""))</f>
        <v/>
      </c>
      <c r="O131" s="5" t="n"/>
      <c r="P131" s="4" t="n"/>
      <c r="Q131" s="4" t="n"/>
      <c r="R131" s="5" t="n"/>
      <c r="S131" s="4" t="n"/>
      <c r="T131" s="4" t="n"/>
      <c r="U131" s="13" t="n"/>
      <c r="V131" s="13" t="n"/>
      <c r="W131" s="13" t="n"/>
      <c r="X131" s="14" t="n"/>
      <c r="Y131" s="14" t="n"/>
      <c r="Z131" s="8" t="n"/>
    </row>
    <row r="132">
      <c r="A132" s="4" t="n"/>
      <c r="B132" s="8" t="n"/>
      <c r="C132" s="4" t="n"/>
      <c r="D132" s="4" t="n"/>
      <c r="E132" s="4" t="n"/>
      <c r="F132" s="12" t="n"/>
      <c r="G132" s="4" t="n"/>
      <c r="H132" s="4" t="n"/>
      <c r="I132" s="4" t="n"/>
      <c r="J132" s="5" t="n"/>
      <c r="K132" s="5">
        <f>IF(J132="","",J132+4)</f>
        <v/>
      </c>
      <c r="L132" s="5">
        <f>IF(J132="","",J132+9)</f>
        <v/>
      </c>
      <c r="M132" s="5">
        <f>IF(J132="","",J132+16)</f>
        <v/>
      </c>
      <c r="N132" s="4">
        <f>IF(OR(I132="Contacted",I132="Terms sent"),IF(TODAY()&gt;=M132,"Close (step 3)",IF(TODAY()&gt;=L132,"Follow-up 2",IF(TODAY()&gt;=K132,"Follow-up 1",""))),IF(I132="Shortlisted",IF(G132="","Score it",""),""))</f>
        <v/>
      </c>
      <c r="O132" s="5" t="n"/>
      <c r="P132" s="4" t="n"/>
      <c r="Q132" s="4" t="n"/>
      <c r="R132" s="5" t="n"/>
      <c r="S132" s="4" t="n"/>
      <c r="T132" s="4" t="n"/>
      <c r="U132" s="13" t="n"/>
      <c r="V132" s="13" t="n"/>
      <c r="W132" s="13" t="n"/>
      <c r="X132" s="14" t="n"/>
      <c r="Y132" s="14" t="n"/>
      <c r="Z132" s="8" t="n"/>
    </row>
    <row r="133">
      <c r="A133" s="4" t="n"/>
      <c r="B133" s="8" t="n"/>
      <c r="C133" s="4" t="n"/>
      <c r="D133" s="4" t="n"/>
      <c r="E133" s="4" t="n"/>
      <c r="F133" s="12" t="n"/>
      <c r="G133" s="4" t="n"/>
      <c r="H133" s="4" t="n"/>
      <c r="I133" s="4" t="n"/>
      <c r="J133" s="5" t="n"/>
      <c r="K133" s="5">
        <f>IF(J133="","",J133+4)</f>
        <v/>
      </c>
      <c r="L133" s="5">
        <f>IF(J133="","",J133+9)</f>
        <v/>
      </c>
      <c r="M133" s="5">
        <f>IF(J133="","",J133+16)</f>
        <v/>
      </c>
      <c r="N133" s="4">
        <f>IF(OR(I133="Contacted",I133="Terms sent"),IF(TODAY()&gt;=M133,"Close (step 3)",IF(TODAY()&gt;=L133,"Follow-up 2",IF(TODAY()&gt;=K133,"Follow-up 1",""))),IF(I133="Shortlisted",IF(G133="","Score it",""),""))</f>
        <v/>
      </c>
      <c r="O133" s="5" t="n"/>
      <c r="P133" s="4" t="n"/>
      <c r="Q133" s="4" t="n"/>
      <c r="R133" s="5" t="n"/>
      <c r="S133" s="4" t="n"/>
      <c r="T133" s="4" t="n"/>
      <c r="U133" s="13" t="n"/>
      <c r="V133" s="13" t="n"/>
      <c r="W133" s="13" t="n"/>
      <c r="X133" s="14" t="n"/>
      <c r="Y133" s="14" t="n"/>
      <c r="Z133" s="8" t="n"/>
    </row>
    <row r="134">
      <c r="A134" s="4" t="n"/>
      <c r="B134" s="8" t="n"/>
      <c r="C134" s="4" t="n"/>
      <c r="D134" s="4" t="n"/>
      <c r="E134" s="4" t="n"/>
      <c r="F134" s="12" t="n"/>
      <c r="G134" s="4" t="n"/>
      <c r="H134" s="4" t="n"/>
      <c r="I134" s="4" t="n"/>
      <c r="J134" s="5" t="n"/>
      <c r="K134" s="5">
        <f>IF(J134="","",J134+4)</f>
        <v/>
      </c>
      <c r="L134" s="5">
        <f>IF(J134="","",J134+9)</f>
        <v/>
      </c>
      <c r="M134" s="5">
        <f>IF(J134="","",J134+16)</f>
        <v/>
      </c>
      <c r="N134" s="4">
        <f>IF(OR(I134="Contacted",I134="Terms sent"),IF(TODAY()&gt;=M134,"Close (step 3)",IF(TODAY()&gt;=L134,"Follow-up 2",IF(TODAY()&gt;=K134,"Follow-up 1",""))),IF(I134="Shortlisted",IF(G134="","Score it",""),""))</f>
        <v/>
      </c>
      <c r="O134" s="5" t="n"/>
      <c r="P134" s="4" t="n"/>
      <c r="Q134" s="4" t="n"/>
      <c r="R134" s="5" t="n"/>
      <c r="S134" s="4" t="n"/>
      <c r="T134" s="4" t="n"/>
      <c r="U134" s="13" t="n"/>
      <c r="V134" s="13" t="n"/>
      <c r="W134" s="13" t="n"/>
      <c r="X134" s="14" t="n"/>
      <c r="Y134" s="14" t="n"/>
      <c r="Z134" s="8" t="n"/>
    </row>
    <row r="135">
      <c r="A135" s="4" t="n"/>
      <c r="B135" s="8" t="n"/>
      <c r="C135" s="4" t="n"/>
      <c r="D135" s="4" t="n"/>
      <c r="E135" s="4" t="n"/>
      <c r="F135" s="12" t="n"/>
      <c r="G135" s="4" t="n"/>
      <c r="H135" s="4" t="n"/>
      <c r="I135" s="4" t="n"/>
      <c r="J135" s="5" t="n"/>
      <c r="K135" s="5">
        <f>IF(J135="","",J135+4)</f>
        <v/>
      </c>
      <c r="L135" s="5">
        <f>IF(J135="","",J135+9)</f>
        <v/>
      </c>
      <c r="M135" s="5">
        <f>IF(J135="","",J135+16)</f>
        <v/>
      </c>
      <c r="N135" s="4">
        <f>IF(OR(I135="Contacted",I135="Terms sent"),IF(TODAY()&gt;=M135,"Close (step 3)",IF(TODAY()&gt;=L135,"Follow-up 2",IF(TODAY()&gt;=K135,"Follow-up 1",""))),IF(I135="Shortlisted",IF(G135="","Score it",""),""))</f>
        <v/>
      </c>
      <c r="O135" s="5" t="n"/>
      <c r="P135" s="4" t="n"/>
      <c r="Q135" s="4" t="n"/>
      <c r="R135" s="5" t="n"/>
      <c r="S135" s="4" t="n"/>
      <c r="T135" s="4" t="n"/>
      <c r="U135" s="13" t="n"/>
      <c r="V135" s="13" t="n"/>
      <c r="W135" s="13" t="n"/>
      <c r="X135" s="14" t="n"/>
      <c r="Y135" s="14" t="n"/>
      <c r="Z135" s="8" t="n"/>
    </row>
    <row r="136">
      <c r="A136" s="4" t="n"/>
      <c r="B136" s="8" t="n"/>
      <c r="C136" s="4" t="n"/>
      <c r="D136" s="4" t="n"/>
      <c r="E136" s="4" t="n"/>
      <c r="F136" s="12" t="n"/>
      <c r="G136" s="4" t="n"/>
      <c r="H136" s="4" t="n"/>
      <c r="I136" s="4" t="n"/>
      <c r="J136" s="5" t="n"/>
      <c r="K136" s="5">
        <f>IF(J136="","",J136+4)</f>
        <v/>
      </c>
      <c r="L136" s="5">
        <f>IF(J136="","",J136+9)</f>
        <v/>
      </c>
      <c r="M136" s="5">
        <f>IF(J136="","",J136+16)</f>
        <v/>
      </c>
      <c r="N136" s="4">
        <f>IF(OR(I136="Contacted",I136="Terms sent"),IF(TODAY()&gt;=M136,"Close (step 3)",IF(TODAY()&gt;=L136,"Follow-up 2",IF(TODAY()&gt;=K136,"Follow-up 1",""))),IF(I136="Shortlisted",IF(G136="","Score it",""),""))</f>
        <v/>
      </c>
      <c r="O136" s="5" t="n"/>
      <c r="P136" s="4" t="n"/>
      <c r="Q136" s="4" t="n"/>
      <c r="R136" s="5" t="n"/>
      <c r="S136" s="4" t="n"/>
      <c r="T136" s="4" t="n"/>
      <c r="U136" s="13" t="n"/>
      <c r="V136" s="13" t="n"/>
      <c r="W136" s="13" t="n"/>
      <c r="X136" s="14" t="n"/>
      <c r="Y136" s="14" t="n"/>
      <c r="Z136" s="8" t="n"/>
    </row>
    <row r="137">
      <c r="A137" s="4" t="n"/>
      <c r="B137" s="8" t="n"/>
      <c r="C137" s="4" t="n"/>
      <c r="D137" s="4" t="n"/>
      <c r="E137" s="4" t="n"/>
      <c r="F137" s="12" t="n"/>
      <c r="G137" s="4" t="n"/>
      <c r="H137" s="4" t="n"/>
      <c r="I137" s="4" t="n"/>
      <c r="J137" s="5" t="n"/>
      <c r="K137" s="5">
        <f>IF(J137="","",J137+4)</f>
        <v/>
      </c>
      <c r="L137" s="5">
        <f>IF(J137="","",J137+9)</f>
        <v/>
      </c>
      <c r="M137" s="5">
        <f>IF(J137="","",J137+16)</f>
        <v/>
      </c>
      <c r="N137" s="4">
        <f>IF(OR(I137="Contacted",I137="Terms sent"),IF(TODAY()&gt;=M137,"Close (step 3)",IF(TODAY()&gt;=L137,"Follow-up 2",IF(TODAY()&gt;=K137,"Follow-up 1",""))),IF(I137="Shortlisted",IF(G137="","Score it",""),""))</f>
        <v/>
      </c>
      <c r="O137" s="5" t="n"/>
      <c r="P137" s="4" t="n"/>
      <c r="Q137" s="4" t="n"/>
      <c r="R137" s="5" t="n"/>
      <c r="S137" s="4" t="n"/>
      <c r="T137" s="4" t="n"/>
      <c r="U137" s="13" t="n"/>
      <c r="V137" s="13" t="n"/>
      <c r="W137" s="13" t="n"/>
      <c r="X137" s="14" t="n"/>
      <c r="Y137" s="14" t="n"/>
      <c r="Z137" s="8" t="n"/>
    </row>
    <row r="138">
      <c r="A138" s="4" t="n"/>
      <c r="B138" s="8" t="n"/>
      <c r="C138" s="4" t="n"/>
      <c r="D138" s="4" t="n"/>
      <c r="E138" s="4" t="n"/>
      <c r="F138" s="12" t="n"/>
      <c r="G138" s="4" t="n"/>
      <c r="H138" s="4" t="n"/>
      <c r="I138" s="4" t="n"/>
      <c r="J138" s="5" t="n"/>
      <c r="K138" s="5">
        <f>IF(J138="","",J138+4)</f>
        <v/>
      </c>
      <c r="L138" s="5">
        <f>IF(J138="","",J138+9)</f>
        <v/>
      </c>
      <c r="M138" s="5">
        <f>IF(J138="","",J138+16)</f>
        <v/>
      </c>
      <c r="N138" s="4">
        <f>IF(OR(I138="Contacted",I138="Terms sent"),IF(TODAY()&gt;=M138,"Close (step 3)",IF(TODAY()&gt;=L138,"Follow-up 2",IF(TODAY()&gt;=K138,"Follow-up 1",""))),IF(I138="Shortlisted",IF(G138="","Score it",""),""))</f>
        <v/>
      </c>
      <c r="O138" s="5" t="n"/>
      <c r="P138" s="4" t="n"/>
      <c r="Q138" s="4" t="n"/>
      <c r="R138" s="5" t="n"/>
      <c r="S138" s="4" t="n"/>
      <c r="T138" s="4" t="n"/>
      <c r="U138" s="13" t="n"/>
      <c r="V138" s="13" t="n"/>
      <c r="W138" s="13" t="n"/>
      <c r="X138" s="14" t="n"/>
      <c r="Y138" s="14" t="n"/>
      <c r="Z138" s="8" t="n"/>
    </row>
    <row r="139">
      <c r="A139" s="4" t="n"/>
      <c r="B139" s="8" t="n"/>
      <c r="C139" s="4" t="n"/>
      <c r="D139" s="4" t="n"/>
      <c r="E139" s="4" t="n"/>
      <c r="F139" s="12" t="n"/>
      <c r="G139" s="4" t="n"/>
      <c r="H139" s="4" t="n"/>
      <c r="I139" s="4" t="n"/>
      <c r="J139" s="5" t="n"/>
      <c r="K139" s="5">
        <f>IF(J139="","",J139+4)</f>
        <v/>
      </c>
      <c r="L139" s="5">
        <f>IF(J139="","",J139+9)</f>
        <v/>
      </c>
      <c r="M139" s="5">
        <f>IF(J139="","",J139+16)</f>
        <v/>
      </c>
      <c r="N139" s="4">
        <f>IF(OR(I139="Contacted",I139="Terms sent"),IF(TODAY()&gt;=M139,"Close (step 3)",IF(TODAY()&gt;=L139,"Follow-up 2",IF(TODAY()&gt;=K139,"Follow-up 1",""))),IF(I139="Shortlisted",IF(G139="","Score it",""),""))</f>
        <v/>
      </c>
      <c r="O139" s="5" t="n"/>
      <c r="P139" s="4" t="n"/>
      <c r="Q139" s="4" t="n"/>
      <c r="R139" s="5" t="n"/>
      <c r="S139" s="4" t="n"/>
      <c r="T139" s="4" t="n"/>
      <c r="U139" s="13" t="n"/>
      <c r="V139" s="13" t="n"/>
      <c r="W139" s="13" t="n"/>
      <c r="X139" s="14" t="n"/>
      <c r="Y139" s="14" t="n"/>
      <c r="Z139" s="8" t="n"/>
    </row>
    <row r="140">
      <c r="A140" s="4" t="n"/>
      <c r="B140" s="8" t="n"/>
      <c r="C140" s="4" t="n"/>
      <c r="D140" s="4" t="n"/>
      <c r="E140" s="4" t="n"/>
      <c r="F140" s="12" t="n"/>
      <c r="G140" s="4" t="n"/>
      <c r="H140" s="4" t="n"/>
      <c r="I140" s="4" t="n"/>
      <c r="J140" s="5" t="n"/>
      <c r="K140" s="5">
        <f>IF(J140="","",J140+4)</f>
        <v/>
      </c>
      <c r="L140" s="5">
        <f>IF(J140="","",J140+9)</f>
        <v/>
      </c>
      <c r="M140" s="5">
        <f>IF(J140="","",J140+16)</f>
        <v/>
      </c>
      <c r="N140" s="4">
        <f>IF(OR(I140="Contacted",I140="Terms sent"),IF(TODAY()&gt;=M140,"Close (step 3)",IF(TODAY()&gt;=L140,"Follow-up 2",IF(TODAY()&gt;=K140,"Follow-up 1",""))),IF(I140="Shortlisted",IF(G140="","Score it",""),""))</f>
        <v/>
      </c>
      <c r="O140" s="5" t="n"/>
      <c r="P140" s="4" t="n"/>
      <c r="Q140" s="4" t="n"/>
      <c r="R140" s="5" t="n"/>
      <c r="S140" s="4" t="n"/>
      <c r="T140" s="4" t="n"/>
      <c r="U140" s="13" t="n"/>
      <c r="V140" s="13" t="n"/>
      <c r="W140" s="13" t="n"/>
      <c r="X140" s="14" t="n"/>
      <c r="Y140" s="14" t="n"/>
      <c r="Z140" s="8" t="n"/>
    </row>
    <row r="141">
      <c r="A141" s="4" t="n"/>
      <c r="B141" s="8" t="n"/>
      <c r="C141" s="4" t="n"/>
      <c r="D141" s="4" t="n"/>
      <c r="E141" s="4" t="n"/>
      <c r="F141" s="12" t="n"/>
      <c r="G141" s="4" t="n"/>
      <c r="H141" s="4" t="n"/>
      <c r="I141" s="4" t="n"/>
      <c r="J141" s="5" t="n"/>
      <c r="K141" s="5">
        <f>IF(J141="","",J141+4)</f>
        <v/>
      </c>
      <c r="L141" s="5">
        <f>IF(J141="","",J141+9)</f>
        <v/>
      </c>
      <c r="M141" s="5">
        <f>IF(J141="","",J141+16)</f>
        <v/>
      </c>
      <c r="N141" s="4">
        <f>IF(OR(I141="Contacted",I141="Terms sent"),IF(TODAY()&gt;=M141,"Close (step 3)",IF(TODAY()&gt;=L141,"Follow-up 2",IF(TODAY()&gt;=K141,"Follow-up 1",""))),IF(I141="Shortlisted",IF(G141="","Score it",""),""))</f>
        <v/>
      </c>
      <c r="O141" s="5" t="n"/>
      <c r="P141" s="4" t="n"/>
      <c r="Q141" s="4" t="n"/>
      <c r="R141" s="5" t="n"/>
      <c r="S141" s="4" t="n"/>
      <c r="T141" s="4" t="n"/>
      <c r="U141" s="13" t="n"/>
      <c r="V141" s="13" t="n"/>
      <c r="W141" s="13" t="n"/>
      <c r="X141" s="14" t="n"/>
      <c r="Y141" s="14" t="n"/>
      <c r="Z141" s="8" t="n"/>
    </row>
    <row r="142">
      <c r="A142" s="4" t="n"/>
      <c r="B142" s="8" t="n"/>
      <c r="C142" s="4" t="n"/>
      <c r="D142" s="4" t="n"/>
      <c r="E142" s="4" t="n"/>
      <c r="F142" s="12" t="n"/>
      <c r="G142" s="4" t="n"/>
      <c r="H142" s="4" t="n"/>
      <c r="I142" s="4" t="n"/>
      <c r="J142" s="5" t="n"/>
      <c r="K142" s="5">
        <f>IF(J142="","",J142+4)</f>
        <v/>
      </c>
      <c r="L142" s="5">
        <f>IF(J142="","",J142+9)</f>
        <v/>
      </c>
      <c r="M142" s="5">
        <f>IF(J142="","",J142+16)</f>
        <v/>
      </c>
      <c r="N142" s="4">
        <f>IF(OR(I142="Contacted",I142="Terms sent"),IF(TODAY()&gt;=M142,"Close (step 3)",IF(TODAY()&gt;=L142,"Follow-up 2",IF(TODAY()&gt;=K142,"Follow-up 1",""))),IF(I142="Shortlisted",IF(G142="","Score it",""),""))</f>
        <v/>
      </c>
      <c r="O142" s="5" t="n"/>
      <c r="P142" s="4" t="n"/>
      <c r="Q142" s="4" t="n"/>
      <c r="R142" s="5" t="n"/>
      <c r="S142" s="4" t="n"/>
      <c r="T142" s="4" t="n"/>
      <c r="U142" s="13" t="n"/>
      <c r="V142" s="13" t="n"/>
      <c r="W142" s="13" t="n"/>
      <c r="X142" s="14" t="n"/>
      <c r="Y142" s="14" t="n"/>
      <c r="Z142" s="8" t="n"/>
    </row>
    <row r="143">
      <c r="A143" s="4" t="n"/>
      <c r="B143" s="8" t="n"/>
      <c r="C143" s="4" t="n"/>
      <c r="D143" s="4" t="n"/>
      <c r="E143" s="4" t="n"/>
      <c r="F143" s="12" t="n"/>
      <c r="G143" s="4" t="n"/>
      <c r="H143" s="4" t="n"/>
      <c r="I143" s="4" t="n"/>
      <c r="J143" s="5" t="n"/>
      <c r="K143" s="5">
        <f>IF(J143="","",J143+4)</f>
        <v/>
      </c>
      <c r="L143" s="5">
        <f>IF(J143="","",J143+9)</f>
        <v/>
      </c>
      <c r="M143" s="5">
        <f>IF(J143="","",J143+16)</f>
        <v/>
      </c>
      <c r="N143" s="4">
        <f>IF(OR(I143="Contacted",I143="Terms sent"),IF(TODAY()&gt;=M143,"Close (step 3)",IF(TODAY()&gt;=L143,"Follow-up 2",IF(TODAY()&gt;=K143,"Follow-up 1",""))),IF(I143="Shortlisted",IF(G143="","Score it",""),""))</f>
        <v/>
      </c>
      <c r="O143" s="5" t="n"/>
      <c r="P143" s="4" t="n"/>
      <c r="Q143" s="4" t="n"/>
      <c r="R143" s="5" t="n"/>
      <c r="S143" s="4" t="n"/>
      <c r="T143" s="4" t="n"/>
      <c r="U143" s="13" t="n"/>
      <c r="V143" s="13" t="n"/>
      <c r="W143" s="13" t="n"/>
      <c r="X143" s="14" t="n"/>
      <c r="Y143" s="14" t="n"/>
      <c r="Z143" s="8" t="n"/>
    </row>
    <row r="144">
      <c r="A144" s="4" t="n"/>
      <c r="B144" s="8" t="n"/>
      <c r="C144" s="4" t="n"/>
      <c r="D144" s="4" t="n"/>
      <c r="E144" s="4" t="n"/>
      <c r="F144" s="12" t="n"/>
      <c r="G144" s="4" t="n"/>
      <c r="H144" s="4" t="n"/>
      <c r="I144" s="4" t="n"/>
      <c r="J144" s="5" t="n"/>
      <c r="K144" s="5">
        <f>IF(J144="","",J144+4)</f>
        <v/>
      </c>
      <c r="L144" s="5">
        <f>IF(J144="","",J144+9)</f>
        <v/>
      </c>
      <c r="M144" s="5">
        <f>IF(J144="","",J144+16)</f>
        <v/>
      </c>
      <c r="N144" s="4">
        <f>IF(OR(I144="Contacted",I144="Terms sent"),IF(TODAY()&gt;=M144,"Close (step 3)",IF(TODAY()&gt;=L144,"Follow-up 2",IF(TODAY()&gt;=K144,"Follow-up 1",""))),IF(I144="Shortlisted",IF(G144="","Score it",""),""))</f>
        <v/>
      </c>
      <c r="O144" s="5" t="n"/>
      <c r="P144" s="4" t="n"/>
      <c r="Q144" s="4" t="n"/>
      <c r="R144" s="5" t="n"/>
      <c r="S144" s="4" t="n"/>
      <c r="T144" s="4" t="n"/>
      <c r="U144" s="13" t="n"/>
      <c r="V144" s="13" t="n"/>
      <c r="W144" s="13" t="n"/>
      <c r="X144" s="14" t="n"/>
      <c r="Y144" s="14" t="n"/>
      <c r="Z144" s="8" t="n"/>
    </row>
    <row r="145">
      <c r="A145" s="4" t="n"/>
      <c r="B145" s="8" t="n"/>
      <c r="C145" s="4" t="n"/>
      <c r="D145" s="4" t="n"/>
      <c r="E145" s="4" t="n"/>
      <c r="F145" s="12" t="n"/>
      <c r="G145" s="4" t="n"/>
      <c r="H145" s="4" t="n"/>
      <c r="I145" s="4" t="n"/>
      <c r="J145" s="5" t="n"/>
      <c r="K145" s="5">
        <f>IF(J145="","",J145+4)</f>
        <v/>
      </c>
      <c r="L145" s="5">
        <f>IF(J145="","",J145+9)</f>
        <v/>
      </c>
      <c r="M145" s="5">
        <f>IF(J145="","",J145+16)</f>
        <v/>
      </c>
      <c r="N145" s="4">
        <f>IF(OR(I145="Contacted",I145="Terms sent"),IF(TODAY()&gt;=M145,"Close (step 3)",IF(TODAY()&gt;=L145,"Follow-up 2",IF(TODAY()&gt;=K145,"Follow-up 1",""))),IF(I145="Shortlisted",IF(G145="","Score it",""),""))</f>
        <v/>
      </c>
      <c r="O145" s="5" t="n"/>
      <c r="P145" s="4" t="n"/>
      <c r="Q145" s="4" t="n"/>
      <c r="R145" s="5" t="n"/>
      <c r="S145" s="4" t="n"/>
      <c r="T145" s="4" t="n"/>
      <c r="U145" s="13" t="n"/>
      <c r="V145" s="13" t="n"/>
      <c r="W145" s="13" t="n"/>
      <c r="X145" s="14" t="n"/>
      <c r="Y145" s="14" t="n"/>
      <c r="Z145" s="8" t="n"/>
    </row>
    <row r="146">
      <c r="A146" s="4" t="n"/>
      <c r="B146" s="8" t="n"/>
      <c r="C146" s="4" t="n"/>
      <c r="D146" s="4" t="n"/>
      <c r="E146" s="4" t="n"/>
      <c r="F146" s="12" t="n"/>
      <c r="G146" s="4" t="n"/>
      <c r="H146" s="4" t="n"/>
      <c r="I146" s="4" t="n"/>
      <c r="J146" s="5" t="n"/>
      <c r="K146" s="5">
        <f>IF(J146="","",J146+4)</f>
        <v/>
      </c>
      <c r="L146" s="5">
        <f>IF(J146="","",J146+9)</f>
        <v/>
      </c>
      <c r="M146" s="5">
        <f>IF(J146="","",J146+16)</f>
        <v/>
      </c>
      <c r="N146" s="4">
        <f>IF(OR(I146="Contacted",I146="Terms sent"),IF(TODAY()&gt;=M146,"Close (step 3)",IF(TODAY()&gt;=L146,"Follow-up 2",IF(TODAY()&gt;=K146,"Follow-up 1",""))),IF(I146="Shortlisted",IF(G146="","Score it",""),""))</f>
        <v/>
      </c>
      <c r="O146" s="5" t="n"/>
      <c r="P146" s="4" t="n"/>
      <c r="Q146" s="4" t="n"/>
      <c r="R146" s="5" t="n"/>
      <c r="S146" s="4" t="n"/>
      <c r="T146" s="4" t="n"/>
      <c r="U146" s="13" t="n"/>
      <c r="V146" s="13" t="n"/>
      <c r="W146" s="13" t="n"/>
      <c r="X146" s="14" t="n"/>
      <c r="Y146" s="14" t="n"/>
      <c r="Z146" s="8" t="n"/>
    </row>
    <row r="147">
      <c r="A147" s="4" t="n"/>
      <c r="B147" s="8" t="n"/>
      <c r="C147" s="4" t="n"/>
      <c r="D147" s="4" t="n"/>
      <c r="E147" s="4" t="n"/>
      <c r="F147" s="12" t="n"/>
      <c r="G147" s="4" t="n"/>
      <c r="H147" s="4" t="n"/>
      <c r="I147" s="4" t="n"/>
      <c r="J147" s="5" t="n"/>
      <c r="K147" s="5">
        <f>IF(J147="","",J147+4)</f>
        <v/>
      </c>
      <c r="L147" s="5">
        <f>IF(J147="","",J147+9)</f>
        <v/>
      </c>
      <c r="M147" s="5">
        <f>IF(J147="","",J147+16)</f>
        <v/>
      </c>
      <c r="N147" s="4">
        <f>IF(OR(I147="Contacted",I147="Terms sent"),IF(TODAY()&gt;=M147,"Close (step 3)",IF(TODAY()&gt;=L147,"Follow-up 2",IF(TODAY()&gt;=K147,"Follow-up 1",""))),IF(I147="Shortlisted",IF(G147="","Score it",""),""))</f>
        <v/>
      </c>
      <c r="O147" s="5" t="n"/>
      <c r="P147" s="4" t="n"/>
      <c r="Q147" s="4" t="n"/>
      <c r="R147" s="5" t="n"/>
      <c r="S147" s="4" t="n"/>
      <c r="T147" s="4" t="n"/>
      <c r="U147" s="13" t="n"/>
      <c r="V147" s="13" t="n"/>
      <c r="W147" s="13" t="n"/>
      <c r="X147" s="14" t="n"/>
      <c r="Y147" s="14" t="n"/>
      <c r="Z147" s="8" t="n"/>
    </row>
    <row r="148">
      <c r="A148" s="4" t="n"/>
      <c r="B148" s="8" t="n"/>
      <c r="C148" s="4" t="n"/>
      <c r="D148" s="4" t="n"/>
      <c r="E148" s="4" t="n"/>
      <c r="F148" s="12" t="n"/>
      <c r="G148" s="4" t="n"/>
      <c r="H148" s="4" t="n"/>
      <c r="I148" s="4" t="n"/>
      <c r="J148" s="5" t="n"/>
      <c r="K148" s="5">
        <f>IF(J148="","",J148+4)</f>
        <v/>
      </c>
      <c r="L148" s="5">
        <f>IF(J148="","",J148+9)</f>
        <v/>
      </c>
      <c r="M148" s="5">
        <f>IF(J148="","",J148+16)</f>
        <v/>
      </c>
      <c r="N148" s="4">
        <f>IF(OR(I148="Contacted",I148="Terms sent"),IF(TODAY()&gt;=M148,"Close (step 3)",IF(TODAY()&gt;=L148,"Follow-up 2",IF(TODAY()&gt;=K148,"Follow-up 1",""))),IF(I148="Shortlisted",IF(G148="","Score it",""),""))</f>
        <v/>
      </c>
      <c r="O148" s="5" t="n"/>
      <c r="P148" s="4" t="n"/>
      <c r="Q148" s="4" t="n"/>
      <c r="R148" s="5" t="n"/>
      <c r="S148" s="4" t="n"/>
      <c r="T148" s="4" t="n"/>
      <c r="U148" s="13" t="n"/>
      <c r="V148" s="13" t="n"/>
      <c r="W148" s="13" t="n"/>
      <c r="X148" s="14" t="n"/>
      <c r="Y148" s="14" t="n"/>
      <c r="Z148" s="8" t="n"/>
    </row>
    <row r="149">
      <c r="A149" s="4" t="n"/>
      <c r="B149" s="8" t="n"/>
      <c r="C149" s="4" t="n"/>
      <c r="D149" s="4" t="n"/>
      <c r="E149" s="4" t="n"/>
      <c r="F149" s="12" t="n"/>
      <c r="G149" s="4" t="n"/>
      <c r="H149" s="4" t="n"/>
      <c r="I149" s="4" t="n"/>
      <c r="J149" s="5" t="n"/>
      <c r="K149" s="5">
        <f>IF(J149="","",J149+4)</f>
        <v/>
      </c>
      <c r="L149" s="5">
        <f>IF(J149="","",J149+9)</f>
        <v/>
      </c>
      <c r="M149" s="5">
        <f>IF(J149="","",J149+16)</f>
        <v/>
      </c>
      <c r="N149" s="4">
        <f>IF(OR(I149="Contacted",I149="Terms sent"),IF(TODAY()&gt;=M149,"Close (step 3)",IF(TODAY()&gt;=L149,"Follow-up 2",IF(TODAY()&gt;=K149,"Follow-up 1",""))),IF(I149="Shortlisted",IF(G149="","Score it",""),""))</f>
        <v/>
      </c>
      <c r="O149" s="5" t="n"/>
      <c r="P149" s="4" t="n"/>
      <c r="Q149" s="4" t="n"/>
      <c r="R149" s="5" t="n"/>
      <c r="S149" s="4" t="n"/>
      <c r="T149" s="4" t="n"/>
      <c r="U149" s="13" t="n"/>
      <c r="V149" s="13" t="n"/>
      <c r="W149" s="13" t="n"/>
      <c r="X149" s="14" t="n"/>
      <c r="Y149" s="14" t="n"/>
      <c r="Z149" s="8" t="n"/>
    </row>
    <row r="150">
      <c r="A150" s="4" t="n"/>
      <c r="B150" s="8" t="n"/>
      <c r="C150" s="4" t="n"/>
      <c r="D150" s="4" t="n"/>
      <c r="E150" s="4" t="n"/>
      <c r="F150" s="12" t="n"/>
      <c r="G150" s="4" t="n"/>
      <c r="H150" s="4" t="n"/>
      <c r="I150" s="4" t="n"/>
      <c r="J150" s="5" t="n"/>
      <c r="K150" s="5">
        <f>IF(J150="","",J150+4)</f>
        <v/>
      </c>
      <c r="L150" s="5">
        <f>IF(J150="","",J150+9)</f>
        <v/>
      </c>
      <c r="M150" s="5">
        <f>IF(J150="","",J150+16)</f>
        <v/>
      </c>
      <c r="N150" s="4">
        <f>IF(OR(I150="Contacted",I150="Terms sent"),IF(TODAY()&gt;=M150,"Close (step 3)",IF(TODAY()&gt;=L150,"Follow-up 2",IF(TODAY()&gt;=K150,"Follow-up 1",""))),IF(I150="Shortlisted",IF(G150="","Score it",""),""))</f>
        <v/>
      </c>
      <c r="O150" s="5" t="n"/>
      <c r="P150" s="4" t="n"/>
      <c r="Q150" s="4" t="n"/>
      <c r="R150" s="5" t="n"/>
      <c r="S150" s="4" t="n"/>
      <c r="T150" s="4" t="n"/>
      <c r="U150" s="13" t="n"/>
      <c r="V150" s="13" t="n"/>
      <c r="W150" s="13" t="n"/>
      <c r="X150" s="14" t="n"/>
      <c r="Y150" s="14" t="n"/>
      <c r="Z150" s="8" t="n"/>
    </row>
    <row r="151">
      <c r="A151" s="4" t="n"/>
      <c r="B151" s="8" t="n"/>
      <c r="C151" s="4" t="n"/>
      <c r="D151" s="4" t="n"/>
      <c r="E151" s="4" t="n"/>
      <c r="F151" s="12" t="n"/>
      <c r="G151" s="4" t="n"/>
      <c r="H151" s="4" t="n"/>
      <c r="I151" s="4" t="n"/>
      <c r="J151" s="5" t="n"/>
      <c r="K151" s="5">
        <f>IF(J151="","",J151+4)</f>
        <v/>
      </c>
      <c r="L151" s="5">
        <f>IF(J151="","",J151+9)</f>
        <v/>
      </c>
      <c r="M151" s="5">
        <f>IF(J151="","",J151+16)</f>
        <v/>
      </c>
      <c r="N151" s="4">
        <f>IF(OR(I151="Contacted",I151="Terms sent"),IF(TODAY()&gt;=M151,"Close (step 3)",IF(TODAY()&gt;=L151,"Follow-up 2",IF(TODAY()&gt;=K151,"Follow-up 1",""))),IF(I151="Shortlisted",IF(G151="","Score it",""),""))</f>
        <v/>
      </c>
      <c r="O151" s="5" t="n"/>
      <c r="P151" s="4" t="n"/>
      <c r="Q151" s="4" t="n"/>
      <c r="R151" s="5" t="n"/>
      <c r="S151" s="4" t="n"/>
      <c r="T151" s="4" t="n"/>
      <c r="U151" s="13" t="n"/>
      <c r="V151" s="13" t="n"/>
      <c r="W151" s="13" t="n"/>
      <c r="X151" s="14" t="n"/>
      <c r="Y151" s="14" t="n"/>
      <c r="Z151" s="8" t="n"/>
    </row>
    <row r="152">
      <c r="A152" s="4" t="n"/>
      <c r="B152" s="8" t="n"/>
      <c r="C152" s="4" t="n"/>
      <c r="D152" s="4" t="n"/>
      <c r="E152" s="4" t="n"/>
      <c r="F152" s="12" t="n"/>
      <c r="G152" s="4" t="n"/>
      <c r="H152" s="4" t="n"/>
      <c r="I152" s="4" t="n"/>
      <c r="J152" s="5" t="n"/>
      <c r="K152" s="5">
        <f>IF(J152="","",J152+4)</f>
        <v/>
      </c>
      <c r="L152" s="5">
        <f>IF(J152="","",J152+9)</f>
        <v/>
      </c>
      <c r="M152" s="5">
        <f>IF(J152="","",J152+16)</f>
        <v/>
      </c>
      <c r="N152" s="4">
        <f>IF(OR(I152="Contacted",I152="Terms sent"),IF(TODAY()&gt;=M152,"Close (step 3)",IF(TODAY()&gt;=L152,"Follow-up 2",IF(TODAY()&gt;=K152,"Follow-up 1",""))),IF(I152="Shortlisted",IF(G152="","Score it",""),""))</f>
        <v/>
      </c>
      <c r="O152" s="5" t="n"/>
      <c r="P152" s="4" t="n"/>
      <c r="Q152" s="4" t="n"/>
      <c r="R152" s="5" t="n"/>
      <c r="S152" s="4" t="n"/>
      <c r="T152" s="4" t="n"/>
      <c r="U152" s="13" t="n"/>
      <c r="V152" s="13" t="n"/>
      <c r="W152" s="13" t="n"/>
      <c r="X152" s="14" t="n"/>
      <c r="Y152" s="14" t="n"/>
      <c r="Z152" s="8" t="n"/>
    </row>
    <row r="153">
      <c r="A153" s="4" t="n"/>
      <c r="B153" s="8" t="n"/>
      <c r="C153" s="4" t="n"/>
      <c r="D153" s="4" t="n"/>
      <c r="E153" s="4" t="n"/>
      <c r="F153" s="12" t="n"/>
      <c r="G153" s="4" t="n"/>
      <c r="H153" s="4" t="n"/>
      <c r="I153" s="4" t="n"/>
      <c r="J153" s="5" t="n"/>
      <c r="K153" s="5">
        <f>IF(J153="","",J153+4)</f>
        <v/>
      </c>
      <c r="L153" s="5">
        <f>IF(J153="","",J153+9)</f>
        <v/>
      </c>
      <c r="M153" s="5">
        <f>IF(J153="","",J153+16)</f>
        <v/>
      </c>
      <c r="N153" s="4">
        <f>IF(OR(I153="Contacted",I153="Terms sent"),IF(TODAY()&gt;=M153,"Close (step 3)",IF(TODAY()&gt;=L153,"Follow-up 2",IF(TODAY()&gt;=K153,"Follow-up 1",""))),IF(I153="Shortlisted",IF(G153="","Score it",""),""))</f>
        <v/>
      </c>
      <c r="O153" s="5" t="n"/>
      <c r="P153" s="4" t="n"/>
      <c r="Q153" s="4" t="n"/>
      <c r="R153" s="5" t="n"/>
      <c r="S153" s="4" t="n"/>
      <c r="T153" s="4" t="n"/>
      <c r="U153" s="13" t="n"/>
      <c r="V153" s="13" t="n"/>
      <c r="W153" s="13" t="n"/>
      <c r="X153" s="14" t="n"/>
      <c r="Y153" s="14" t="n"/>
      <c r="Z153" s="8" t="n"/>
    </row>
    <row r="154">
      <c r="A154" s="4" t="n"/>
      <c r="B154" s="8" t="n"/>
      <c r="C154" s="4" t="n"/>
      <c r="D154" s="4" t="n"/>
      <c r="E154" s="4" t="n"/>
      <c r="F154" s="12" t="n"/>
      <c r="G154" s="4" t="n"/>
      <c r="H154" s="4" t="n"/>
      <c r="I154" s="4" t="n"/>
      <c r="J154" s="5" t="n"/>
      <c r="K154" s="5">
        <f>IF(J154="","",J154+4)</f>
        <v/>
      </c>
      <c r="L154" s="5">
        <f>IF(J154="","",J154+9)</f>
        <v/>
      </c>
      <c r="M154" s="5">
        <f>IF(J154="","",J154+16)</f>
        <v/>
      </c>
      <c r="N154" s="4">
        <f>IF(OR(I154="Contacted",I154="Terms sent"),IF(TODAY()&gt;=M154,"Close (step 3)",IF(TODAY()&gt;=L154,"Follow-up 2",IF(TODAY()&gt;=K154,"Follow-up 1",""))),IF(I154="Shortlisted",IF(G154="","Score it",""),""))</f>
        <v/>
      </c>
      <c r="O154" s="5" t="n"/>
      <c r="P154" s="4" t="n"/>
      <c r="Q154" s="4" t="n"/>
      <c r="R154" s="5" t="n"/>
      <c r="S154" s="4" t="n"/>
      <c r="T154" s="4" t="n"/>
      <c r="U154" s="13" t="n"/>
      <c r="V154" s="13" t="n"/>
      <c r="W154" s="13" t="n"/>
      <c r="X154" s="14" t="n"/>
      <c r="Y154" s="14" t="n"/>
      <c r="Z154" s="8" t="n"/>
    </row>
    <row r="155">
      <c r="A155" s="4" t="n"/>
      <c r="B155" s="8" t="n"/>
      <c r="C155" s="4" t="n"/>
      <c r="D155" s="4" t="n"/>
      <c r="E155" s="4" t="n"/>
      <c r="F155" s="12" t="n"/>
      <c r="G155" s="4" t="n"/>
      <c r="H155" s="4" t="n"/>
      <c r="I155" s="4" t="n"/>
      <c r="J155" s="5" t="n"/>
      <c r="K155" s="5">
        <f>IF(J155="","",J155+4)</f>
        <v/>
      </c>
      <c r="L155" s="5">
        <f>IF(J155="","",J155+9)</f>
        <v/>
      </c>
      <c r="M155" s="5">
        <f>IF(J155="","",J155+16)</f>
        <v/>
      </c>
      <c r="N155" s="4">
        <f>IF(OR(I155="Contacted",I155="Terms sent"),IF(TODAY()&gt;=M155,"Close (step 3)",IF(TODAY()&gt;=L155,"Follow-up 2",IF(TODAY()&gt;=K155,"Follow-up 1",""))),IF(I155="Shortlisted",IF(G155="","Score it",""),""))</f>
        <v/>
      </c>
      <c r="O155" s="5" t="n"/>
      <c r="P155" s="4" t="n"/>
      <c r="Q155" s="4" t="n"/>
      <c r="R155" s="5" t="n"/>
      <c r="S155" s="4" t="n"/>
      <c r="T155" s="4" t="n"/>
      <c r="U155" s="13" t="n"/>
      <c r="V155" s="13" t="n"/>
      <c r="W155" s="13" t="n"/>
      <c r="X155" s="14" t="n"/>
      <c r="Y155" s="14" t="n"/>
      <c r="Z155" s="8" t="n"/>
    </row>
    <row r="156">
      <c r="A156" s="4" t="n"/>
      <c r="B156" s="8" t="n"/>
      <c r="C156" s="4" t="n"/>
      <c r="D156" s="4" t="n"/>
      <c r="E156" s="4" t="n"/>
      <c r="F156" s="12" t="n"/>
      <c r="G156" s="4" t="n"/>
      <c r="H156" s="4" t="n"/>
      <c r="I156" s="4" t="n"/>
      <c r="J156" s="5" t="n"/>
      <c r="K156" s="5">
        <f>IF(J156="","",J156+4)</f>
        <v/>
      </c>
      <c r="L156" s="5">
        <f>IF(J156="","",J156+9)</f>
        <v/>
      </c>
      <c r="M156" s="5">
        <f>IF(J156="","",J156+16)</f>
        <v/>
      </c>
      <c r="N156" s="4">
        <f>IF(OR(I156="Contacted",I156="Terms sent"),IF(TODAY()&gt;=M156,"Close (step 3)",IF(TODAY()&gt;=L156,"Follow-up 2",IF(TODAY()&gt;=K156,"Follow-up 1",""))),IF(I156="Shortlisted",IF(G156="","Score it",""),""))</f>
        <v/>
      </c>
      <c r="O156" s="5" t="n"/>
      <c r="P156" s="4" t="n"/>
      <c r="Q156" s="4" t="n"/>
      <c r="R156" s="5" t="n"/>
      <c r="S156" s="4" t="n"/>
      <c r="T156" s="4" t="n"/>
      <c r="U156" s="13" t="n"/>
      <c r="V156" s="13" t="n"/>
      <c r="W156" s="13" t="n"/>
      <c r="X156" s="14" t="n"/>
      <c r="Y156" s="14" t="n"/>
      <c r="Z156" s="8" t="n"/>
    </row>
    <row r="157">
      <c r="A157" s="4" t="n"/>
      <c r="B157" s="8" t="n"/>
      <c r="C157" s="4" t="n"/>
      <c r="D157" s="4" t="n"/>
      <c r="E157" s="4" t="n"/>
      <c r="F157" s="12" t="n"/>
      <c r="G157" s="4" t="n"/>
      <c r="H157" s="4" t="n"/>
      <c r="I157" s="4" t="n"/>
      <c r="J157" s="5" t="n"/>
      <c r="K157" s="5">
        <f>IF(J157="","",J157+4)</f>
        <v/>
      </c>
      <c r="L157" s="5">
        <f>IF(J157="","",J157+9)</f>
        <v/>
      </c>
      <c r="M157" s="5">
        <f>IF(J157="","",J157+16)</f>
        <v/>
      </c>
      <c r="N157" s="4">
        <f>IF(OR(I157="Contacted",I157="Terms sent"),IF(TODAY()&gt;=M157,"Close (step 3)",IF(TODAY()&gt;=L157,"Follow-up 2",IF(TODAY()&gt;=K157,"Follow-up 1",""))),IF(I157="Shortlisted",IF(G157="","Score it",""),""))</f>
        <v/>
      </c>
      <c r="O157" s="5" t="n"/>
      <c r="P157" s="4" t="n"/>
      <c r="Q157" s="4" t="n"/>
      <c r="R157" s="5" t="n"/>
      <c r="S157" s="4" t="n"/>
      <c r="T157" s="4" t="n"/>
      <c r="U157" s="13" t="n"/>
      <c r="V157" s="13" t="n"/>
      <c r="W157" s="13" t="n"/>
      <c r="X157" s="14" t="n"/>
      <c r="Y157" s="14" t="n"/>
      <c r="Z157" s="8" t="n"/>
    </row>
    <row r="158">
      <c r="A158" s="4" t="n"/>
      <c r="B158" s="8" t="n"/>
      <c r="C158" s="4" t="n"/>
      <c r="D158" s="4" t="n"/>
      <c r="E158" s="4" t="n"/>
      <c r="F158" s="12" t="n"/>
      <c r="G158" s="4" t="n"/>
      <c r="H158" s="4" t="n"/>
      <c r="I158" s="4" t="n"/>
      <c r="J158" s="5" t="n"/>
      <c r="K158" s="5">
        <f>IF(J158="","",J158+4)</f>
        <v/>
      </c>
      <c r="L158" s="5">
        <f>IF(J158="","",J158+9)</f>
        <v/>
      </c>
      <c r="M158" s="5">
        <f>IF(J158="","",J158+16)</f>
        <v/>
      </c>
      <c r="N158" s="4">
        <f>IF(OR(I158="Contacted",I158="Terms sent"),IF(TODAY()&gt;=M158,"Close (step 3)",IF(TODAY()&gt;=L158,"Follow-up 2",IF(TODAY()&gt;=K158,"Follow-up 1",""))),IF(I158="Shortlisted",IF(G158="","Score it",""),""))</f>
        <v/>
      </c>
      <c r="O158" s="5" t="n"/>
      <c r="P158" s="4" t="n"/>
      <c r="Q158" s="4" t="n"/>
      <c r="R158" s="5" t="n"/>
      <c r="S158" s="4" t="n"/>
      <c r="T158" s="4" t="n"/>
      <c r="U158" s="13" t="n"/>
      <c r="V158" s="13" t="n"/>
      <c r="W158" s="13" t="n"/>
      <c r="X158" s="14" t="n"/>
      <c r="Y158" s="14" t="n"/>
      <c r="Z158" s="8" t="n"/>
    </row>
    <row r="159">
      <c r="A159" s="4" t="n"/>
      <c r="B159" s="8" t="n"/>
      <c r="C159" s="4" t="n"/>
      <c r="D159" s="4" t="n"/>
      <c r="E159" s="4" t="n"/>
      <c r="F159" s="12" t="n"/>
      <c r="G159" s="4" t="n"/>
      <c r="H159" s="4" t="n"/>
      <c r="I159" s="4" t="n"/>
      <c r="J159" s="5" t="n"/>
      <c r="K159" s="5">
        <f>IF(J159="","",J159+4)</f>
        <v/>
      </c>
      <c r="L159" s="5">
        <f>IF(J159="","",J159+9)</f>
        <v/>
      </c>
      <c r="M159" s="5">
        <f>IF(J159="","",J159+16)</f>
        <v/>
      </c>
      <c r="N159" s="4">
        <f>IF(OR(I159="Contacted",I159="Terms sent"),IF(TODAY()&gt;=M159,"Close (step 3)",IF(TODAY()&gt;=L159,"Follow-up 2",IF(TODAY()&gt;=K159,"Follow-up 1",""))),IF(I159="Shortlisted",IF(G159="","Score it",""),""))</f>
        <v/>
      </c>
      <c r="O159" s="5" t="n"/>
      <c r="P159" s="4" t="n"/>
      <c r="Q159" s="4" t="n"/>
      <c r="R159" s="5" t="n"/>
      <c r="S159" s="4" t="n"/>
      <c r="T159" s="4" t="n"/>
      <c r="U159" s="13" t="n"/>
      <c r="V159" s="13" t="n"/>
      <c r="W159" s="13" t="n"/>
      <c r="X159" s="14" t="n"/>
      <c r="Y159" s="14" t="n"/>
      <c r="Z159" s="8" t="n"/>
    </row>
    <row r="160">
      <c r="A160" s="4" t="n"/>
      <c r="B160" s="8" t="n"/>
      <c r="C160" s="4" t="n"/>
      <c r="D160" s="4" t="n"/>
      <c r="E160" s="4" t="n"/>
      <c r="F160" s="12" t="n"/>
      <c r="G160" s="4" t="n"/>
      <c r="H160" s="4" t="n"/>
      <c r="I160" s="4" t="n"/>
      <c r="J160" s="5" t="n"/>
      <c r="K160" s="5">
        <f>IF(J160="","",J160+4)</f>
        <v/>
      </c>
      <c r="L160" s="5">
        <f>IF(J160="","",J160+9)</f>
        <v/>
      </c>
      <c r="M160" s="5">
        <f>IF(J160="","",J160+16)</f>
        <v/>
      </c>
      <c r="N160" s="4">
        <f>IF(OR(I160="Contacted",I160="Terms sent"),IF(TODAY()&gt;=M160,"Close (step 3)",IF(TODAY()&gt;=L160,"Follow-up 2",IF(TODAY()&gt;=K160,"Follow-up 1",""))),IF(I160="Shortlisted",IF(G160="","Score it",""),""))</f>
        <v/>
      </c>
      <c r="O160" s="5" t="n"/>
      <c r="P160" s="4" t="n"/>
      <c r="Q160" s="4" t="n"/>
      <c r="R160" s="5" t="n"/>
      <c r="S160" s="4" t="n"/>
      <c r="T160" s="4" t="n"/>
      <c r="U160" s="13" t="n"/>
      <c r="V160" s="13" t="n"/>
      <c r="W160" s="13" t="n"/>
      <c r="X160" s="14" t="n"/>
      <c r="Y160" s="14" t="n"/>
      <c r="Z160" s="8" t="n"/>
    </row>
    <row r="161">
      <c r="A161" s="4" t="n"/>
      <c r="B161" s="8" t="n"/>
      <c r="C161" s="4" t="n"/>
      <c r="D161" s="4" t="n"/>
      <c r="E161" s="4" t="n"/>
      <c r="F161" s="12" t="n"/>
      <c r="G161" s="4" t="n"/>
      <c r="H161" s="4" t="n"/>
      <c r="I161" s="4" t="n"/>
      <c r="J161" s="5" t="n"/>
      <c r="K161" s="5">
        <f>IF(J161="","",J161+4)</f>
        <v/>
      </c>
      <c r="L161" s="5">
        <f>IF(J161="","",J161+9)</f>
        <v/>
      </c>
      <c r="M161" s="5">
        <f>IF(J161="","",J161+16)</f>
        <v/>
      </c>
      <c r="N161" s="4">
        <f>IF(OR(I161="Contacted",I161="Terms sent"),IF(TODAY()&gt;=M161,"Close (step 3)",IF(TODAY()&gt;=L161,"Follow-up 2",IF(TODAY()&gt;=K161,"Follow-up 1",""))),IF(I161="Shortlisted",IF(G161="","Score it",""),""))</f>
        <v/>
      </c>
      <c r="O161" s="5" t="n"/>
      <c r="P161" s="4" t="n"/>
      <c r="Q161" s="4" t="n"/>
      <c r="R161" s="5" t="n"/>
      <c r="S161" s="4" t="n"/>
      <c r="T161" s="4" t="n"/>
      <c r="U161" s="13" t="n"/>
      <c r="V161" s="13" t="n"/>
      <c r="W161" s="13" t="n"/>
      <c r="X161" s="14" t="n"/>
      <c r="Y161" s="14" t="n"/>
      <c r="Z161" s="8" t="n"/>
    </row>
    <row r="162">
      <c r="A162" s="4" t="n"/>
      <c r="B162" s="8" t="n"/>
      <c r="C162" s="4" t="n"/>
      <c r="D162" s="4" t="n"/>
      <c r="E162" s="4" t="n"/>
      <c r="F162" s="12" t="n"/>
      <c r="G162" s="4" t="n"/>
      <c r="H162" s="4" t="n"/>
      <c r="I162" s="4" t="n"/>
      <c r="J162" s="5" t="n"/>
      <c r="K162" s="5">
        <f>IF(J162="","",J162+4)</f>
        <v/>
      </c>
      <c r="L162" s="5">
        <f>IF(J162="","",J162+9)</f>
        <v/>
      </c>
      <c r="M162" s="5">
        <f>IF(J162="","",J162+16)</f>
        <v/>
      </c>
      <c r="N162" s="4">
        <f>IF(OR(I162="Contacted",I162="Terms sent"),IF(TODAY()&gt;=M162,"Close (step 3)",IF(TODAY()&gt;=L162,"Follow-up 2",IF(TODAY()&gt;=K162,"Follow-up 1",""))),IF(I162="Shortlisted",IF(G162="","Score it",""),""))</f>
        <v/>
      </c>
      <c r="O162" s="5" t="n"/>
      <c r="P162" s="4" t="n"/>
      <c r="Q162" s="4" t="n"/>
      <c r="R162" s="5" t="n"/>
      <c r="S162" s="4" t="n"/>
      <c r="T162" s="4" t="n"/>
      <c r="U162" s="13" t="n"/>
      <c r="V162" s="13" t="n"/>
      <c r="W162" s="13" t="n"/>
      <c r="X162" s="14" t="n"/>
      <c r="Y162" s="14" t="n"/>
      <c r="Z162" s="8" t="n"/>
    </row>
    <row r="163">
      <c r="A163" s="4" t="n"/>
      <c r="B163" s="8" t="n"/>
      <c r="C163" s="4" t="n"/>
      <c r="D163" s="4" t="n"/>
      <c r="E163" s="4" t="n"/>
      <c r="F163" s="12" t="n"/>
      <c r="G163" s="4" t="n"/>
      <c r="H163" s="4" t="n"/>
      <c r="I163" s="4" t="n"/>
      <c r="J163" s="5" t="n"/>
      <c r="K163" s="5">
        <f>IF(J163="","",J163+4)</f>
        <v/>
      </c>
      <c r="L163" s="5">
        <f>IF(J163="","",J163+9)</f>
        <v/>
      </c>
      <c r="M163" s="5">
        <f>IF(J163="","",J163+16)</f>
        <v/>
      </c>
      <c r="N163" s="4">
        <f>IF(OR(I163="Contacted",I163="Terms sent"),IF(TODAY()&gt;=M163,"Close (step 3)",IF(TODAY()&gt;=L163,"Follow-up 2",IF(TODAY()&gt;=K163,"Follow-up 1",""))),IF(I163="Shortlisted",IF(G163="","Score it",""),""))</f>
        <v/>
      </c>
      <c r="O163" s="5" t="n"/>
      <c r="P163" s="4" t="n"/>
      <c r="Q163" s="4" t="n"/>
      <c r="R163" s="5" t="n"/>
      <c r="S163" s="4" t="n"/>
      <c r="T163" s="4" t="n"/>
      <c r="U163" s="13" t="n"/>
      <c r="V163" s="13" t="n"/>
      <c r="W163" s="13" t="n"/>
      <c r="X163" s="14" t="n"/>
      <c r="Y163" s="14" t="n"/>
      <c r="Z163" s="8" t="n"/>
    </row>
    <row r="164">
      <c r="A164" s="4" t="n"/>
      <c r="B164" s="8" t="n"/>
      <c r="C164" s="4" t="n"/>
      <c r="D164" s="4" t="n"/>
      <c r="E164" s="4" t="n"/>
      <c r="F164" s="12" t="n"/>
      <c r="G164" s="4" t="n"/>
      <c r="H164" s="4" t="n"/>
      <c r="I164" s="4" t="n"/>
      <c r="J164" s="5" t="n"/>
      <c r="K164" s="5">
        <f>IF(J164="","",J164+4)</f>
        <v/>
      </c>
      <c r="L164" s="5">
        <f>IF(J164="","",J164+9)</f>
        <v/>
      </c>
      <c r="M164" s="5">
        <f>IF(J164="","",J164+16)</f>
        <v/>
      </c>
      <c r="N164" s="4">
        <f>IF(OR(I164="Contacted",I164="Terms sent"),IF(TODAY()&gt;=M164,"Close (step 3)",IF(TODAY()&gt;=L164,"Follow-up 2",IF(TODAY()&gt;=K164,"Follow-up 1",""))),IF(I164="Shortlisted",IF(G164="","Score it",""),""))</f>
        <v/>
      </c>
      <c r="O164" s="5" t="n"/>
      <c r="P164" s="4" t="n"/>
      <c r="Q164" s="4" t="n"/>
      <c r="R164" s="5" t="n"/>
      <c r="S164" s="4" t="n"/>
      <c r="T164" s="4" t="n"/>
      <c r="U164" s="13" t="n"/>
      <c r="V164" s="13" t="n"/>
      <c r="W164" s="13" t="n"/>
      <c r="X164" s="14" t="n"/>
      <c r="Y164" s="14" t="n"/>
      <c r="Z164" s="8" t="n"/>
    </row>
    <row r="165">
      <c r="A165" s="4" t="n"/>
      <c r="B165" s="8" t="n"/>
      <c r="C165" s="4" t="n"/>
      <c r="D165" s="4" t="n"/>
      <c r="E165" s="4" t="n"/>
      <c r="F165" s="12" t="n"/>
      <c r="G165" s="4" t="n"/>
      <c r="H165" s="4" t="n"/>
      <c r="I165" s="4" t="n"/>
      <c r="J165" s="5" t="n"/>
      <c r="K165" s="5">
        <f>IF(J165="","",J165+4)</f>
        <v/>
      </c>
      <c r="L165" s="5">
        <f>IF(J165="","",J165+9)</f>
        <v/>
      </c>
      <c r="M165" s="5">
        <f>IF(J165="","",J165+16)</f>
        <v/>
      </c>
      <c r="N165" s="4">
        <f>IF(OR(I165="Contacted",I165="Terms sent"),IF(TODAY()&gt;=M165,"Close (step 3)",IF(TODAY()&gt;=L165,"Follow-up 2",IF(TODAY()&gt;=K165,"Follow-up 1",""))),IF(I165="Shortlisted",IF(G165="","Score it",""),""))</f>
        <v/>
      </c>
      <c r="O165" s="5" t="n"/>
      <c r="P165" s="4" t="n"/>
      <c r="Q165" s="4" t="n"/>
      <c r="R165" s="5" t="n"/>
      <c r="S165" s="4" t="n"/>
      <c r="T165" s="4" t="n"/>
      <c r="U165" s="13" t="n"/>
      <c r="V165" s="13" t="n"/>
      <c r="W165" s="13" t="n"/>
      <c r="X165" s="14" t="n"/>
      <c r="Y165" s="14" t="n"/>
      <c r="Z165" s="8" t="n"/>
    </row>
    <row r="166">
      <c r="A166" s="4" t="n"/>
      <c r="B166" s="8" t="n"/>
      <c r="C166" s="4" t="n"/>
      <c r="D166" s="4" t="n"/>
      <c r="E166" s="4" t="n"/>
      <c r="F166" s="12" t="n"/>
      <c r="G166" s="4" t="n"/>
      <c r="H166" s="4" t="n"/>
      <c r="I166" s="4" t="n"/>
      <c r="J166" s="5" t="n"/>
      <c r="K166" s="5">
        <f>IF(J166="","",J166+4)</f>
        <v/>
      </c>
      <c r="L166" s="5">
        <f>IF(J166="","",J166+9)</f>
        <v/>
      </c>
      <c r="M166" s="5">
        <f>IF(J166="","",J166+16)</f>
        <v/>
      </c>
      <c r="N166" s="4">
        <f>IF(OR(I166="Contacted",I166="Terms sent"),IF(TODAY()&gt;=M166,"Close (step 3)",IF(TODAY()&gt;=L166,"Follow-up 2",IF(TODAY()&gt;=K166,"Follow-up 1",""))),IF(I166="Shortlisted",IF(G166="","Score it",""),""))</f>
        <v/>
      </c>
      <c r="O166" s="5" t="n"/>
      <c r="P166" s="4" t="n"/>
      <c r="Q166" s="4" t="n"/>
      <c r="R166" s="5" t="n"/>
      <c r="S166" s="4" t="n"/>
      <c r="T166" s="4" t="n"/>
      <c r="U166" s="13" t="n"/>
      <c r="V166" s="13" t="n"/>
      <c r="W166" s="13" t="n"/>
      <c r="X166" s="14" t="n"/>
      <c r="Y166" s="14" t="n"/>
      <c r="Z166" s="8" t="n"/>
    </row>
    <row r="167">
      <c r="A167" s="4" t="n"/>
      <c r="B167" s="8" t="n"/>
      <c r="C167" s="4" t="n"/>
      <c r="D167" s="4" t="n"/>
      <c r="E167" s="4" t="n"/>
      <c r="F167" s="12" t="n"/>
      <c r="G167" s="4" t="n"/>
      <c r="H167" s="4" t="n"/>
      <c r="I167" s="4" t="n"/>
      <c r="J167" s="5" t="n"/>
      <c r="K167" s="5">
        <f>IF(J167="","",J167+4)</f>
        <v/>
      </c>
      <c r="L167" s="5">
        <f>IF(J167="","",J167+9)</f>
        <v/>
      </c>
      <c r="M167" s="5">
        <f>IF(J167="","",J167+16)</f>
        <v/>
      </c>
      <c r="N167" s="4">
        <f>IF(OR(I167="Contacted",I167="Terms sent"),IF(TODAY()&gt;=M167,"Close (step 3)",IF(TODAY()&gt;=L167,"Follow-up 2",IF(TODAY()&gt;=K167,"Follow-up 1",""))),IF(I167="Shortlisted",IF(G167="","Score it",""),""))</f>
        <v/>
      </c>
      <c r="O167" s="5" t="n"/>
      <c r="P167" s="4" t="n"/>
      <c r="Q167" s="4" t="n"/>
      <c r="R167" s="5" t="n"/>
      <c r="S167" s="4" t="n"/>
      <c r="T167" s="4" t="n"/>
      <c r="U167" s="13" t="n"/>
      <c r="V167" s="13" t="n"/>
      <c r="W167" s="13" t="n"/>
      <c r="X167" s="14" t="n"/>
      <c r="Y167" s="14" t="n"/>
      <c r="Z167" s="8" t="n"/>
    </row>
    <row r="168">
      <c r="A168" s="4" t="n"/>
      <c r="B168" s="8" t="n"/>
      <c r="C168" s="4" t="n"/>
      <c r="D168" s="4" t="n"/>
      <c r="E168" s="4" t="n"/>
      <c r="F168" s="12" t="n"/>
      <c r="G168" s="4" t="n"/>
      <c r="H168" s="4" t="n"/>
      <c r="I168" s="4" t="n"/>
      <c r="J168" s="5" t="n"/>
      <c r="K168" s="5">
        <f>IF(J168="","",J168+4)</f>
        <v/>
      </c>
      <c r="L168" s="5">
        <f>IF(J168="","",J168+9)</f>
        <v/>
      </c>
      <c r="M168" s="5">
        <f>IF(J168="","",J168+16)</f>
        <v/>
      </c>
      <c r="N168" s="4">
        <f>IF(OR(I168="Contacted",I168="Terms sent"),IF(TODAY()&gt;=M168,"Close (step 3)",IF(TODAY()&gt;=L168,"Follow-up 2",IF(TODAY()&gt;=K168,"Follow-up 1",""))),IF(I168="Shortlisted",IF(G168="","Score it",""),""))</f>
        <v/>
      </c>
      <c r="O168" s="5" t="n"/>
      <c r="P168" s="4" t="n"/>
      <c r="Q168" s="4" t="n"/>
      <c r="R168" s="5" t="n"/>
      <c r="S168" s="4" t="n"/>
      <c r="T168" s="4" t="n"/>
      <c r="U168" s="13" t="n"/>
      <c r="V168" s="13" t="n"/>
      <c r="W168" s="13" t="n"/>
      <c r="X168" s="14" t="n"/>
      <c r="Y168" s="14" t="n"/>
      <c r="Z168" s="8" t="n"/>
    </row>
    <row r="169">
      <c r="A169" s="4" t="n"/>
      <c r="B169" s="8" t="n"/>
      <c r="C169" s="4" t="n"/>
      <c r="D169" s="4" t="n"/>
      <c r="E169" s="4" t="n"/>
      <c r="F169" s="12" t="n"/>
      <c r="G169" s="4" t="n"/>
      <c r="H169" s="4" t="n"/>
      <c r="I169" s="4" t="n"/>
      <c r="J169" s="5" t="n"/>
      <c r="K169" s="5">
        <f>IF(J169="","",J169+4)</f>
        <v/>
      </c>
      <c r="L169" s="5">
        <f>IF(J169="","",J169+9)</f>
        <v/>
      </c>
      <c r="M169" s="5">
        <f>IF(J169="","",J169+16)</f>
        <v/>
      </c>
      <c r="N169" s="4">
        <f>IF(OR(I169="Contacted",I169="Terms sent"),IF(TODAY()&gt;=M169,"Close (step 3)",IF(TODAY()&gt;=L169,"Follow-up 2",IF(TODAY()&gt;=K169,"Follow-up 1",""))),IF(I169="Shortlisted",IF(G169="","Score it",""),""))</f>
        <v/>
      </c>
      <c r="O169" s="5" t="n"/>
      <c r="P169" s="4" t="n"/>
      <c r="Q169" s="4" t="n"/>
      <c r="R169" s="5" t="n"/>
      <c r="S169" s="4" t="n"/>
      <c r="T169" s="4" t="n"/>
      <c r="U169" s="13" t="n"/>
      <c r="V169" s="13" t="n"/>
      <c r="W169" s="13" t="n"/>
      <c r="X169" s="14" t="n"/>
      <c r="Y169" s="14" t="n"/>
      <c r="Z169" s="8" t="n"/>
    </row>
    <row r="170">
      <c r="A170" s="4" t="n"/>
      <c r="B170" s="8" t="n"/>
      <c r="C170" s="4" t="n"/>
      <c r="D170" s="4" t="n"/>
      <c r="E170" s="4" t="n"/>
      <c r="F170" s="12" t="n"/>
      <c r="G170" s="4" t="n"/>
      <c r="H170" s="4" t="n"/>
      <c r="I170" s="4" t="n"/>
      <c r="J170" s="5" t="n"/>
      <c r="K170" s="5">
        <f>IF(J170="","",J170+4)</f>
        <v/>
      </c>
      <c r="L170" s="5">
        <f>IF(J170="","",J170+9)</f>
        <v/>
      </c>
      <c r="M170" s="5">
        <f>IF(J170="","",J170+16)</f>
        <v/>
      </c>
      <c r="N170" s="4">
        <f>IF(OR(I170="Contacted",I170="Terms sent"),IF(TODAY()&gt;=M170,"Close (step 3)",IF(TODAY()&gt;=L170,"Follow-up 2",IF(TODAY()&gt;=K170,"Follow-up 1",""))),IF(I170="Shortlisted",IF(G170="","Score it",""),""))</f>
        <v/>
      </c>
      <c r="O170" s="5" t="n"/>
      <c r="P170" s="4" t="n"/>
      <c r="Q170" s="4" t="n"/>
      <c r="R170" s="5" t="n"/>
      <c r="S170" s="4" t="n"/>
      <c r="T170" s="4" t="n"/>
      <c r="U170" s="13" t="n"/>
      <c r="V170" s="13" t="n"/>
      <c r="W170" s="13" t="n"/>
      <c r="X170" s="14" t="n"/>
      <c r="Y170" s="14" t="n"/>
      <c r="Z170" s="8" t="n"/>
    </row>
    <row r="171">
      <c r="A171" s="4" t="n"/>
      <c r="B171" s="8" t="n"/>
      <c r="C171" s="4" t="n"/>
      <c r="D171" s="4" t="n"/>
      <c r="E171" s="4" t="n"/>
      <c r="F171" s="12" t="n"/>
      <c r="G171" s="4" t="n"/>
      <c r="H171" s="4" t="n"/>
      <c r="I171" s="4" t="n"/>
      <c r="J171" s="5" t="n"/>
      <c r="K171" s="5">
        <f>IF(J171="","",J171+4)</f>
        <v/>
      </c>
      <c r="L171" s="5">
        <f>IF(J171="","",J171+9)</f>
        <v/>
      </c>
      <c r="M171" s="5">
        <f>IF(J171="","",J171+16)</f>
        <v/>
      </c>
      <c r="N171" s="4">
        <f>IF(OR(I171="Contacted",I171="Terms sent"),IF(TODAY()&gt;=M171,"Close (step 3)",IF(TODAY()&gt;=L171,"Follow-up 2",IF(TODAY()&gt;=K171,"Follow-up 1",""))),IF(I171="Shortlisted",IF(G171="","Score it",""),""))</f>
        <v/>
      </c>
      <c r="O171" s="5" t="n"/>
      <c r="P171" s="4" t="n"/>
      <c r="Q171" s="4" t="n"/>
      <c r="R171" s="5" t="n"/>
      <c r="S171" s="4" t="n"/>
      <c r="T171" s="4" t="n"/>
      <c r="U171" s="13" t="n"/>
      <c r="V171" s="13" t="n"/>
      <c r="W171" s="13" t="n"/>
      <c r="X171" s="14" t="n"/>
      <c r="Y171" s="14" t="n"/>
      <c r="Z171" s="8" t="n"/>
    </row>
    <row r="172">
      <c r="A172" s="4" t="n"/>
      <c r="B172" s="8" t="n"/>
      <c r="C172" s="4" t="n"/>
      <c r="D172" s="4" t="n"/>
      <c r="E172" s="4" t="n"/>
      <c r="F172" s="12" t="n"/>
      <c r="G172" s="4" t="n"/>
      <c r="H172" s="4" t="n"/>
      <c r="I172" s="4" t="n"/>
      <c r="J172" s="5" t="n"/>
      <c r="K172" s="5">
        <f>IF(J172="","",J172+4)</f>
        <v/>
      </c>
      <c r="L172" s="5">
        <f>IF(J172="","",J172+9)</f>
        <v/>
      </c>
      <c r="M172" s="5">
        <f>IF(J172="","",J172+16)</f>
        <v/>
      </c>
      <c r="N172" s="4">
        <f>IF(OR(I172="Contacted",I172="Terms sent"),IF(TODAY()&gt;=M172,"Close (step 3)",IF(TODAY()&gt;=L172,"Follow-up 2",IF(TODAY()&gt;=K172,"Follow-up 1",""))),IF(I172="Shortlisted",IF(G172="","Score it",""),""))</f>
        <v/>
      </c>
      <c r="O172" s="5" t="n"/>
      <c r="P172" s="4" t="n"/>
      <c r="Q172" s="4" t="n"/>
      <c r="R172" s="5" t="n"/>
      <c r="S172" s="4" t="n"/>
      <c r="T172" s="4" t="n"/>
      <c r="U172" s="13" t="n"/>
      <c r="V172" s="13" t="n"/>
      <c r="W172" s="13" t="n"/>
      <c r="X172" s="14" t="n"/>
      <c r="Y172" s="14" t="n"/>
      <c r="Z172" s="8" t="n"/>
    </row>
    <row r="173">
      <c r="A173" s="4" t="n"/>
      <c r="B173" s="8" t="n"/>
      <c r="C173" s="4" t="n"/>
      <c r="D173" s="4" t="n"/>
      <c r="E173" s="4" t="n"/>
      <c r="F173" s="12" t="n"/>
      <c r="G173" s="4" t="n"/>
      <c r="H173" s="4" t="n"/>
      <c r="I173" s="4" t="n"/>
      <c r="J173" s="5" t="n"/>
      <c r="K173" s="5">
        <f>IF(J173="","",J173+4)</f>
        <v/>
      </c>
      <c r="L173" s="5">
        <f>IF(J173="","",J173+9)</f>
        <v/>
      </c>
      <c r="M173" s="5">
        <f>IF(J173="","",J173+16)</f>
        <v/>
      </c>
      <c r="N173" s="4">
        <f>IF(OR(I173="Contacted",I173="Terms sent"),IF(TODAY()&gt;=M173,"Close (step 3)",IF(TODAY()&gt;=L173,"Follow-up 2",IF(TODAY()&gt;=K173,"Follow-up 1",""))),IF(I173="Shortlisted",IF(G173="","Score it",""),""))</f>
        <v/>
      </c>
      <c r="O173" s="5" t="n"/>
      <c r="P173" s="4" t="n"/>
      <c r="Q173" s="4" t="n"/>
      <c r="R173" s="5" t="n"/>
      <c r="S173" s="4" t="n"/>
      <c r="T173" s="4" t="n"/>
      <c r="U173" s="13" t="n"/>
      <c r="V173" s="13" t="n"/>
      <c r="W173" s="13" t="n"/>
      <c r="X173" s="14" t="n"/>
      <c r="Y173" s="14" t="n"/>
      <c r="Z173" s="8" t="n"/>
    </row>
    <row r="174">
      <c r="A174" s="4" t="n"/>
      <c r="B174" s="8" t="n"/>
      <c r="C174" s="4" t="n"/>
      <c r="D174" s="4" t="n"/>
      <c r="E174" s="4" t="n"/>
      <c r="F174" s="12" t="n"/>
      <c r="G174" s="4" t="n"/>
      <c r="H174" s="4" t="n"/>
      <c r="I174" s="4" t="n"/>
      <c r="J174" s="5" t="n"/>
      <c r="K174" s="5">
        <f>IF(J174="","",J174+4)</f>
        <v/>
      </c>
      <c r="L174" s="5">
        <f>IF(J174="","",J174+9)</f>
        <v/>
      </c>
      <c r="M174" s="5">
        <f>IF(J174="","",J174+16)</f>
        <v/>
      </c>
      <c r="N174" s="4">
        <f>IF(OR(I174="Contacted",I174="Terms sent"),IF(TODAY()&gt;=M174,"Close (step 3)",IF(TODAY()&gt;=L174,"Follow-up 2",IF(TODAY()&gt;=K174,"Follow-up 1",""))),IF(I174="Shortlisted",IF(G174="","Score it",""),""))</f>
        <v/>
      </c>
      <c r="O174" s="5" t="n"/>
      <c r="P174" s="4" t="n"/>
      <c r="Q174" s="4" t="n"/>
      <c r="R174" s="5" t="n"/>
      <c r="S174" s="4" t="n"/>
      <c r="T174" s="4" t="n"/>
      <c r="U174" s="13" t="n"/>
      <c r="V174" s="13" t="n"/>
      <c r="W174" s="13" t="n"/>
      <c r="X174" s="14" t="n"/>
      <c r="Y174" s="14" t="n"/>
      <c r="Z174" s="8" t="n"/>
    </row>
    <row r="175">
      <c r="A175" s="4" t="n"/>
      <c r="B175" s="8" t="n"/>
      <c r="C175" s="4" t="n"/>
      <c r="D175" s="4" t="n"/>
      <c r="E175" s="4" t="n"/>
      <c r="F175" s="12" t="n"/>
      <c r="G175" s="4" t="n"/>
      <c r="H175" s="4" t="n"/>
      <c r="I175" s="4" t="n"/>
      <c r="J175" s="5" t="n"/>
      <c r="K175" s="5">
        <f>IF(J175="","",J175+4)</f>
        <v/>
      </c>
      <c r="L175" s="5">
        <f>IF(J175="","",J175+9)</f>
        <v/>
      </c>
      <c r="M175" s="5">
        <f>IF(J175="","",J175+16)</f>
        <v/>
      </c>
      <c r="N175" s="4">
        <f>IF(OR(I175="Contacted",I175="Terms sent"),IF(TODAY()&gt;=M175,"Close (step 3)",IF(TODAY()&gt;=L175,"Follow-up 2",IF(TODAY()&gt;=K175,"Follow-up 1",""))),IF(I175="Shortlisted",IF(G175="","Score it",""),""))</f>
        <v/>
      </c>
      <c r="O175" s="5" t="n"/>
      <c r="P175" s="4" t="n"/>
      <c r="Q175" s="4" t="n"/>
      <c r="R175" s="5" t="n"/>
      <c r="S175" s="4" t="n"/>
      <c r="T175" s="4" t="n"/>
      <c r="U175" s="13" t="n"/>
      <c r="V175" s="13" t="n"/>
      <c r="W175" s="13" t="n"/>
      <c r="X175" s="14" t="n"/>
      <c r="Y175" s="14" t="n"/>
      <c r="Z175" s="8" t="n"/>
    </row>
    <row r="176">
      <c r="A176" s="4" t="n"/>
      <c r="B176" s="8" t="n"/>
      <c r="C176" s="4" t="n"/>
      <c r="D176" s="4" t="n"/>
      <c r="E176" s="4" t="n"/>
      <c r="F176" s="12" t="n"/>
      <c r="G176" s="4" t="n"/>
      <c r="H176" s="4" t="n"/>
      <c r="I176" s="4" t="n"/>
      <c r="J176" s="5" t="n"/>
      <c r="K176" s="5">
        <f>IF(J176="","",J176+4)</f>
        <v/>
      </c>
      <c r="L176" s="5">
        <f>IF(J176="","",J176+9)</f>
        <v/>
      </c>
      <c r="M176" s="5">
        <f>IF(J176="","",J176+16)</f>
        <v/>
      </c>
      <c r="N176" s="4">
        <f>IF(OR(I176="Contacted",I176="Terms sent"),IF(TODAY()&gt;=M176,"Close (step 3)",IF(TODAY()&gt;=L176,"Follow-up 2",IF(TODAY()&gt;=K176,"Follow-up 1",""))),IF(I176="Shortlisted",IF(G176="","Score it",""),""))</f>
        <v/>
      </c>
      <c r="O176" s="5" t="n"/>
      <c r="P176" s="4" t="n"/>
      <c r="Q176" s="4" t="n"/>
      <c r="R176" s="5" t="n"/>
      <c r="S176" s="4" t="n"/>
      <c r="T176" s="4" t="n"/>
      <c r="U176" s="13" t="n"/>
      <c r="V176" s="13" t="n"/>
      <c r="W176" s="13" t="n"/>
      <c r="X176" s="14" t="n"/>
      <c r="Y176" s="14" t="n"/>
      <c r="Z176" s="8" t="n"/>
    </row>
    <row r="177">
      <c r="A177" s="4" t="n"/>
      <c r="B177" s="8" t="n"/>
      <c r="C177" s="4" t="n"/>
      <c r="D177" s="4" t="n"/>
      <c r="E177" s="4" t="n"/>
      <c r="F177" s="12" t="n"/>
      <c r="G177" s="4" t="n"/>
      <c r="H177" s="4" t="n"/>
      <c r="I177" s="4" t="n"/>
      <c r="J177" s="5" t="n"/>
      <c r="K177" s="5">
        <f>IF(J177="","",J177+4)</f>
        <v/>
      </c>
      <c r="L177" s="5">
        <f>IF(J177="","",J177+9)</f>
        <v/>
      </c>
      <c r="M177" s="5">
        <f>IF(J177="","",J177+16)</f>
        <v/>
      </c>
      <c r="N177" s="4">
        <f>IF(OR(I177="Contacted",I177="Terms sent"),IF(TODAY()&gt;=M177,"Close (step 3)",IF(TODAY()&gt;=L177,"Follow-up 2",IF(TODAY()&gt;=K177,"Follow-up 1",""))),IF(I177="Shortlisted",IF(G177="","Score it",""),""))</f>
        <v/>
      </c>
      <c r="O177" s="5" t="n"/>
      <c r="P177" s="4" t="n"/>
      <c r="Q177" s="4" t="n"/>
      <c r="R177" s="5" t="n"/>
      <c r="S177" s="4" t="n"/>
      <c r="T177" s="4" t="n"/>
      <c r="U177" s="13" t="n"/>
      <c r="V177" s="13" t="n"/>
      <c r="W177" s="13" t="n"/>
      <c r="X177" s="14" t="n"/>
      <c r="Y177" s="14" t="n"/>
      <c r="Z177" s="8" t="n"/>
    </row>
    <row r="178">
      <c r="A178" s="4" t="n"/>
      <c r="B178" s="8" t="n"/>
      <c r="C178" s="4" t="n"/>
      <c r="D178" s="4" t="n"/>
      <c r="E178" s="4" t="n"/>
      <c r="F178" s="12" t="n"/>
      <c r="G178" s="4" t="n"/>
      <c r="H178" s="4" t="n"/>
      <c r="I178" s="4" t="n"/>
      <c r="J178" s="5" t="n"/>
      <c r="K178" s="5">
        <f>IF(J178="","",J178+4)</f>
        <v/>
      </c>
      <c r="L178" s="5">
        <f>IF(J178="","",J178+9)</f>
        <v/>
      </c>
      <c r="M178" s="5">
        <f>IF(J178="","",J178+16)</f>
        <v/>
      </c>
      <c r="N178" s="4">
        <f>IF(OR(I178="Contacted",I178="Terms sent"),IF(TODAY()&gt;=M178,"Close (step 3)",IF(TODAY()&gt;=L178,"Follow-up 2",IF(TODAY()&gt;=K178,"Follow-up 1",""))),IF(I178="Shortlisted",IF(G178="","Score it",""),""))</f>
        <v/>
      </c>
      <c r="O178" s="5" t="n"/>
      <c r="P178" s="4" t="n"/>
      <c r="Q178" s="4" t="n"/>
      <c r="R178" s="5" t="n"/>
      <c r="S178" s="4" t="n"/>
      <c r="T178" s="4" t="n"/>
      <c r="U178" s="13" t="n"/>
      <c r="V178" s="13" t="n"/>
      <c r="W178" s="13" t="n"/>
      <c r="X178" s="14" t="n"/>
      <c r="Y178" s="14" t="n"/>
      <c r="Z178" s="8" t="n"/>
    </row>
    <row r="179">
      <c r="A179" s="4" t="n"/>
      <c r="B179" s="8" t="n"/>
      <c r="C179" s="4" t="n"/>
      <c r="D179" s="4" t="n"/>
      <c r="E179" s="4" t="n"/>
      <c r="F179" s="12" t="n"/>
      <c r="G179" s="4" t="n"/>
      <c r="H179" s="4" t="n"/>
      <c r="I179" s="4" t="n"/>
      <c r="J179" s="5" t="n"/>
      <c r="K179" s="5">
        <f>IF(J179="","",J179+4)</f>
        <v/>
      </c>
      <c r="L179" s="5">
        <f>IF(J179="","",J179+9)</f>
        <v/>
      </c>
      <c r="M179" s="5">
        <f>IF(J179="","",J179+16)</f>
        <v/>
      </c>
      <c r="N179" s="4">
        <f>IF(OR(I179="Contacted",I179="Terms sent"),IF(TODAY()&gt;=M179,"Close (step 3)",IF(TODAY()&gt;=L179,"Follow-up 2",IF(TODAY()&gt;=K179,"Follow-up 1",""))),IF(I179="Shortlisted",IF(G179="","Score it",""),""))</f>
        <v/>
      </c>
      <c r="O179" s="5" t="n"/>
      <c r="P179" s="4" t="n"/>
      <c r="Q179" s="4" t="n"/>
      <c r="R179" s="5" t="n"/>
      <c r="S179" s="4" t="n"/>
      <c r="T179" s="4" t="n"/>
      <c r="U179" s="13" t="n"/>
      <c r="V179" s="13" t="n"/>
      <c r="W179" s="13" t="n"/>
      <c r="X179" s="14" t="n"/>
      <c r="Y179" s="14" t="n"/>
      <c r="Z179" s="8" t="n"/>
    </row>
    <row r="180">
      <c r="A180" s="4" t="n"/>
      <c r="B180" s="8" t="n"/>
      <c r="C180" s="4" t="n"/>
      <c r="D180" s="4" t="n"/>
      <c r="E180" s="4" t="n"/>
      <c r="F180" s="12" t="n"/>
      <c r="G180" s="4" t="n"/>
      <c r="H180" s="4" t="n"/>
      <c r="I180" s="4" t="n"/>
      <c r="J180" s="5" t="n"/>
      <c r="K180" s="5">
        <f>IF(J180="","",J180+4)</f>
        <v/>
      </c>
      <c r="L180" s="5">
        <f>IF(J180="","",J180+9)</f>
        <v/>
      </c>
      <c r="M180" s="5">
        <f>IF(J180="","",J180+16)</f>
        <v/>
      </c>
      <c r="N180" s="4">
        <f>IF(OR(I180="Contacted",I180="Terms sent"),IF(TODAY()&gt;=M180,"Close (step 3)",IF(TODAY()&gt;=L180,"Follow-up 2",IF(TODAY()&gt;=K180,"Follow-up 1",""))),IF(I180="Shortlisted",IF(G180="","Score it",""),""))</f>
        <v/>
      </c>
      <c r="O180" s="5" t="n"/>
      <c r="P180" s="4" t="n"/>
      <c r="Q180" s="4" t="n"/>
      <c r="R180" s="5" t="n"/>
      <c r="S180" s="4" t="n"/>
      <c r="T180" s="4" t="n"/>
      <c r="U180" s="13" t="n"/>
      <c r="V180" s="13" t="n"/>
      <c r="W180" s="13" t="n"/>
      <c r="X180" s="14" t="n"/>
      <c r="Y180" s="14" t="n"/>
      <c r="Z180" s="8" t="n"/>
    </row>
    <row r="181">
      <c r="A181" s="4" t="n"/>
      <c r="B181" s="8" t="n"/>
      <c r="C181" s="4" t="n"/>
      <c r="D181" s="4" t="n"/>
      <c r="E181" s="4" t="n"/>
      <c r="F181" s="12" t="n"/>
      <c r="G181" s="4" t="n"/>
      <c r="H181" s="4" t="n"/>
      <c r="I181" s="4" t="n"/>
      <c r="J181" s="5" t="n"/>
      <c r="K181" s="5">
        <f>IF(J181="","",J181+4)</f>
        <v/>
      </c>
      <c r="L181" s="5">
        <f>IF(J181="","",J181+9)</f>
        <v/>
      </c>
      <c r="M181" s="5">
        <f>IF(J181="","",J181+16)</f>
        <v/>
      </c>
      <c r="N181" s="4">
        <f>IF(OR(I181="Contacted",I181="Terms sent"),IF(TODAY()&gt;=M181,"Close (step 3)",IF(TODAY()&gt;=L181,"Follow-up 2",IF(TODAY()&gt;=K181,"Follow-up 1",""))),IF(I181="Shortlisted",IF(G181="","Score it",""),""))</f>
        <v/>
      </c>
      <c r="O181" s="5" t="n"/>
      <c r="P181" s="4" t="n"/>
      <c r="Q181" s="4" t="n"/>
      <c r="R181" s="5" t="n"/>
      <c r="S181" s="4" t="n"/>
      <c r="T181" s="4" t="n"/>
      <c r="U181" s="13" t="n"/>
      <c r="V181" s="13" t="n"/>
      <c r="W181" s="13" t="n"/>
      <c r="X181" s="14" t="n"/>
      <c r="Y181" s="14" t="n"/>
      <c r="Z181" s="8" t="n"/>
    </row>
    <row r="182">
      <c r="A182" s="4" t="n"/>
      <c r="B182" s="8" t="n"/>
      <c r="C182" s="4" t="n"/>
      <c r="D182" s="4" t="n"/>
      <c r="E182" s="4" t="n"/>
      <c r="F182" s="12" t="n"/>
      <c r="G182" s="4" t="n"/>
      <c r="H182" s="4" t="n"/>
      <c r="I182" s="4" t="n"/>
      <c r="J182" s="5" t="n"/>
      <c r="K182" s="5">
        <f>IF(J182="","",J182+4)</f>
        <v/>
      </c>
      <c r="L182" s="5">
        <f>IF(J182="","",J182+9)</f>
        <v/>
      </c>
      <c r="M182" s="5">
        <f>IF(J182="","",J182+16)</f>
        <v/>
      </c>
      <c r="N182" s="4">
        <f>IF(OR(I182="Contacted",I182="Terms sent"),IF(TODAY()&gt;=M182,"Close (step 3)",IF(TODAY()&gt;=L182,"Follow-up 2",IF(TODAY()&gt;=K182,"Follow-up 1",""))),IF(I182="Shortlisted",IF(G182="","Score it",""),""))</f>
        <v/>
      </c>
      <c r="O182" s="5" t="n"/>
      <c r="P182" s="4" t="n"/>
      <c r="Q182" s="4" t="n"/>
      <c r="R182" s="5" t="n"/>
      <c r="S182" s="4" t="n"/>
      <c r="T182" s="4" t="n"/>
      <c r="U182" s="13" t="n"/>
      <c r="V182" s="13" t="n"/>
      <c r="W182" s="13" t="n"/>
      <c r="X182" s="14" t="n"/>
      <c r="Y182" s="14" t="n"/>
      <c r="Z182" s="8" t="n"/>
    </row>
    <row r="183">
      <c r="A183" s="4" t="n"/>
      <c r="B183" s="8" t="n"/>
      <c r="C183" s="4" t="n"/>
      <c r="D183" s="4" t="n"/>
      <c r="E183" s="4" t="n"/>
      <c r="F183" s="12" t="n"/>
      <c r="G183" s="4" t="n"/>
      <c r="H183" s="4" t="n"/>
      <c r="I183" s="4" t="n"/>
      <c r="J183" s="5" t="n"/>
      <c r="K183" s="5">
        <f>IF(J183="","",J183+4)</f>
        <v/>
      </c>
      <c r="L183" s="5">
        <f>IF(J183="","",J183+9)</f>
        <v/>
      </c>
      <c r="M183" s="5">
        <f>IF(J183="","",J183+16)</f>
        <v/>
      </c>
      <c r="N183" s="4">
        <f>IF(OR(I183="Contacted",I183="Terms sent"),IF(TODAY()&gt;=M183,"Close (step 3)",IF(TODAY()&gt;=L183,"Follow-up 2",IF(TODAY()&gt;=K183,"Follow-up 1",""))),IF(I183="Shortlisted",IF(G183="","Score it",""),""))</f>
        <v/>
      </c>
      <c r="O183" s="5" t="n"/>
      <c r="P183" s="4" t="n"/>
      <c r="Q183" s="4" t="n"/>
      <c r="R183" s="5" t="n"/>
      <c r="S183" s="4" t="n"/>
      <c r="T183" s="4" t="n"/>
      <c r="U183" s="13" t="n"/>
      <c r="V183" s="13" t="n"/>
      <c r="W183" s="13" t="n"/>
      <c r="X183" s="14" t="n"/>
      <c r="Y183" s="14" t="n"/>
      <c r="Z183" s="8" t="n"/>
    </row>
    <row r="184">
      <c r="A184" s="4" t="n"/>
      <c r="B184" s="8" t="n"/>
      <c r="C184" s="4" t="n"/>
      <c r="D184" s="4" t="n"/>
      <c r="E184" s="4" t="n"/>
      <c r="F184" s="12" t="n"/>
      <c r="G184" s="4" t="n"/>
      <c r="H184" s="4" t="n"/>
      <c r="I184" s="4" t="n"/>
      <c r="J184" s="5" t="n"/>
      <c r="K184" s="5">
        <f>IF(J184="","",J184+4)</f>
        <v/>
      </c>
      <c r="L184" s="5">
        <f>IF(J184="","",J184+9)</f>
        <v/>
      </c>
      <c r="M184" s="5">
        <f>IF(J184="","",J184+16)</f>
        <v/>
      </c>
      <c r="N184" s="4">
        <f>IF(OR(I184="Contacted",I184="Terms sent"),IF(TODAY()&gt;=M184,"Close (step 3)",IF(TODAY()&gt;=L184,"Follow-up 2",IF(TODAY()&gt;=K184,"Follow-up 1",""))),IF(I184="Shortlisted",IF(G184="","Score it",""),""))</f>
        <v/>
      </c>
      <c r="O184" s="5" t="n"/>
      <c r="P184" s="4" t="n"/>
      <c r="Q184" s="4" t="n"/>
      <c r="R184" s="5" t="n"/>
      <c r="S184" s="4" t="n"/>
      <c r="T184" s="4" t="n"/>
      <c r="U184" s="13" t="n"/>
      <c r="V184" s="13" t="n"/>
      <c r="W184" s="13" t="n"/>
      <c r="X184" s="14" t="n"/>
      <c r="Y184" s="14" t="n"/>
      <c r="Z184" s="8" t="n"/>
    </row>
    <row r="185">
      <c r="A185" s="4" t="n"/>
      <c r="B185" s="8" t="n"/>
      <c r="C185" s="4" t="n"/>
      <c r="D185" s="4" t="n"/>
      <c r="E185" s="4" t="n"/>
      <c r="F185" s="12" t="n"/>
      <c r="G185" s="4" t="n"/>
      <c r="H185" s="4" t="n"/>
      <c r="I185" s="4" t="n"/>
      <c r="J185" s="5" t="n"/>
      <c r="K185" s="5">
        <f>IF(J185="","",J185+4)</f>
        <v/>
      </c>
      <c r="L185" s="5">
        <f>IF(J185="","",J185+9)</f>
        <v/>
      </c>
      <c r="M185" s="5">
        <f>IF(J185="","",J185+16)</f>
        <v/>
      </c>
      <c r="N185" s="4">
        <f>IF(OR(I185="Contacted",I185="Terms sent"),IF(TODAY()&gt;=M185,"Close (step 3)",IF(TODAY()&gt;=L185,"Follow-up 2",IF(TODAY()&gt;=K185,"Follow-up 1",""))),IF(I185="Shortlisted",IF(G185="","Score it",""),""))</f>
        <v/>
      </c>
      <c r="O185" s="5" t="n"/>
      <c r="P185" s="4" t="n"/>
      <c r="Q185" s="4" t="n"/>
      <c r="R185" s="5" t="n"/>
      <c r="S185" s="4" t="n"/>
      <c r="T185" s="4" t="n"/>
      <c r="U185" s="13" t="n"/>
      <c r="V185" s="13" t="n"/>
      <c r="W185" s="13" t="n"/>
      <c r="X185" s="14" t="n"/>
      <c r="Y185" s="14" t="n"/>
      <c r="Z185" s="8" t="n"/>
    </row>
    <row r="186">
      <c r="A186" s="4" t="n"/>
      <c r="B186" s="8" t="n"/>
      <c r="C186" s="4" t="n"/>
      <c r="D186" s="4" t="n"/>
      <c r="E186" s="4" t="n"/>
      <c r="F186" s="12" t="n"/>
      <c r="G186" s="4" t="n"/>
      <c r="H186" s="4" t="n"/>
      <c r="I186" s="4" t="n"/>
      <c r="J186" s="5" t="n"/>
      <c r="K186" s="5">
        <f>IF(J186="","",J186+4)</f>
        <v/>
      </c>
      <c r="L186" s="5">
        <f>IF(J186="","",J186+9)</f>
        <v/>
      </c>
      <c r="M186" s="5">
        <f>IF(J186="","",J186+16)</f>
        <v/>
      </c>
      <c r="N186" s="4">
        <f>IF(OR(I186="Contacted",I186="Terms sent"),IF(TODAY()&gt;=M186,"Close (step 3)",IF(TODAY()&gt;=L186,"Follow-up 2",IF(TODAY()&gt;=K186,"Follow-up 1",""))),IF(I186="Shortlisted",IF(G186="","Score it",""),""))</f>
        <v/>
      </c>
      <c r="O186" s="5" t="n"/>
      <c r="P186" s="4" t="n"/>
      <c r="Q186" s="4" t="n"/>
      <c r="R186" s="5" t="n"/>
      <c r="S186" s="4" t="n"/>
      <c r="T186" s="4" t="n"/>
      <c r="U186" s="13" t="n"/>
      <c r="V186" s="13" t="n"/>
      <c r="W186" s="13" t="n"/>
      <c r="X186" s="14" t="n"/>
      <c r="Y186" s="14" t="n"/>
      <c r="Z186" s="8" t="n"/>
    </row>
    <row r="187">
      <c r="A187" s="4" t="n"/>
      <c r="B187" s="8" t="n"/>
      <c r="C187" s="4" t="n"/>
      <c r="D187" s="4" t="n"/>
      <c r="E187" s="4" t="n"/>
      <c r="F187" s="12" t="n"/>
      <c r="G187" s="4" t="n"/>
      <c r="H187" s="4" t="n"/>
      <c r="I187" s="4" t="n"/>
      <c r="J187" s="5" t="n"/>
      <c r="K187" s="5">
        <f>IF(J187="","",J187+4)</f>
        <v/>
      </c>
      <c r="L187" s="5">
        <f>IF(J187="","",J187+9)</f>
        <v/>
      </c>
      <c r="M187" s="5">
        <f>IF(J187="","",J187+16)</f>
        <v/>
      </c>
      <c r="N187" s="4">
        <f>IF(OR(I187="Contacted",I187="Terms sent"),IF(TODAY()&gt;=M187,"Close (step 3)",IF(TODAY()&gt;=L187,"Follow-up 2",IF(TODAY()&gt;=K187,"Follow-up 1",""))),IF(I187="Shortlisted",IF(G187="","Score it",""),""))</f>
        <v/>
      </c>
      <c r="O187" s="5" t="n"/>
      <c r="P187" s="4" t="n"/>
      <c r="Q187" s="4" t="n"/>
      <c r="R187" s="5" t="n"/>
      <c r="S187" s="4" t="n"/>
      <c r="T187" s="4" t="n"/>
      <c r="U187" s="13" t="n"/>
      <c r="V187" s="13" t="n"/>
      <c r="W187" s="13" t="n"/>
      <c r="X187" s="14" t="n"/>
      <c r="Y187" s="14" t="n"/>
      <c r="Z187" s="8" t="n"/>
    </row>
    <row r="188">
      <c r="A188" s="4" t="n"/>
      <c r="B188" s="8" t="n"/>
      <c r="C188" s="4" t="n"/>
      <c r="D188" s="4" t="n"/>
      <c r="E188" s="4" t="n"/>
      <c r="F188" s="12" t="n"/>
      <c r="G188" s="4" t="n"/>
      <c r="H188" s="4" t="n"/>
      <c r="I188" s="4" t="n"/>
      <c r="J188" s="5" t="n"/>
      <c r="K188" s="5">
        <f>IF(J188="","",J188+4)</f>
        <v/>
      </c>
      <c r="L188" s="5">
        <f>IF(J188="","",J188+9)</f>
        <v/>
      </c>
      <c r="M188" s="5">
        <f>IF(J188="","",J188+16)</f>
        <v/>
      </c>
      <c r="N188" s="4">
        <f>IF(OR(I188="Contacted",I188="Terms sent"),IF(TODAY()&gt;=M188,"Close (step 3)",IF(TODAY()&gt;=L188,"Follow-up 2",IF(TODAY()&gt;=K188,"Follow-up 1",""))),IF(I188="Shortlisted",IF(G188="","Score it",""),""))</f>
        <v/>
      </c>
      <c r="O188" s="5" t="n"/>
      <c r="P188" s="4" t="n"/>
      <c r="Q188" s="4" t="n"/>
      <c r="R188" s="5" t="n"/>
      <c r="S188" s="4" t="n"/>
      <c r="T188" s="4" t="n"/>
      <c r="U188" s="13" t="n"/>
      <c r="V188" s="13" t="n"/>
      <c r="W188" s="13" t="n"/>
      <c r="X188" s="14" t="n"/>
      <c r="Y188" s="14" t="n"/>
      <c r="Z188" s="8" t="n"/>
    </row>
    <row r="189">
      <c r="A189" s="4" t="n"/>
      <c r="B189" s="8" t="n"/>
      <c r="C189" s="4" t="n"/>
      <c r="D189" s="4" t="n"/>
      <c r="E189" s="4" t="n"/>
      <c r="F189" s="12" t="n"/>
      <c r="G189" s="4" t="n"/>
      <c r="H189" s="4" t="n"/>
      <c r="I189" s="4" t="n"/>
      <c r="J189" s="5" t="n"/>
      <c r="K189" s="5">
        <f>IF(J189="","",J189+4)</f>
        <v/>
      </c>
      <c r="L189" s="5">
        <f>IF(J189="","",J189+9)</f>
        <v/>
      </c>
      <c r="M189" s="5">
        <f>IF(J189="","",J189+16)</f>
        <v/>
      </c>
      <c r="N189" s="4">
        <f>IF(OR(I189="Contacted",I189="Terms sent"),IF(TODAY()&gt;=M189,"Close (step 3)",IF(TODAY()&gt;=L189,"Follow-up 2",IF(TODAY()&gt;=K189,"Follow-up 1",""))),IF(I189="Shortlisted",IF(G189="","Score it",""),""))</f>
        <v/>
      </c>
      <c r="O189" s="5" t="n"/>
      <c r="P189" s="4" t="n"/>
      <c r="Q189" s="4" t="n"/>
      <c r="R189" s="5" t="n"/>
      <c r="S189" s="4" t="n"/>
      <c r="T189" s="4" t="n"/>
      <c r="U189" s="13" t="n"/>
      <c r="V189" s="13" t="n"/>
      <c r="W189" s="13" t="n"/>
      <c r="X189" s="14" t="n"/>
      <c r="Y189" s="14" t="n"/>
      <c r="Z189" s="8" t="n"/>
    </row>
    <row r="190">
      <c r="A190" s="4" t="n"/>
      <c r="B190" s="8" t="n"/>
      <c r="C190" s="4" t="n"/>
      <c r="D190" s="4" t="n"/>
      <c r="E190" s="4" t="n"/>
      <c r="F190" s="12" t="n"/>
      <c r="G190" s="4" t="n"/>
      <c r="H190" s="4" t="n"/>
      <c r="I190" s="4" t="n"/>
      <c r="J190" s="5" t="n"/>
      <c r="K190" s="5">
        <f>IF(J190="","",J190+4)</f>
        <v/>
      </c>
      <c r="L190" s="5">
        <f>IF(J190="","",J190+9)</f>
        <v/>
      </c>
      <c r="M190" s="5">
        <f>IF(J190="","",J190+16)</f>
        <v/>
      </c>
      <c r="N190" s="4">
        <f>IF(OR(I190="Contacted",I190="Terms sent"),IF(TODAY()&gt;=M190,"Close (step 3)",IF(TODAY()&gt;=L190,"Follow-up 2",IF(TODAY()&gt;=K190,"Follow-up 1",""))),IF(I190="Shortlisted",IF(G190="","Score it",""),""))</f>
        <v/>
      </c>
      <c r="O190" s="5" t="n"/>
      <c r="P190" s="4" t="n"/>
      <c r="Q190" s="4" t="n"/>
      <c r="R190" s="5" t="n"/>
      <c r="S190" s="4" t="n"/>
      <c r="T190" s="4" t="n"/>
      <c r="U190" s="13" t="n"/>
      <c r="V190" s="13" t="n"/>
      <c r="W190" s="13" t="n"/>
      <c r="X190" s="14" t="n"/>
      <c r="Y190" s="14" t="n"/>
      <c r="Z190" s="8" t="n"/>
    </row>
    <row r="191">
      <c r="A191" s="4" t="n"/>
      <c r="B191" s="8" t="n"/>
      <c r="C191" s="4" t="n"/>
      <c r="D191" s="4" t="n"/>
      <c r="E191" s="4" t="n"/>
      <c r="F191" s="12" t="n"/>
      <c r="G191" s="4" t="n"/>
      <c r="H191" s="4" t="n"/>
      <c r="I191" s="4" t="n"/>
      <c r="J191" s="5" t="n"/>
      <c r="K191" s="5">
        <f>IF(J191="","",J191+4)</f>
        <v/>
      </c>
      <c r="L191" s="5">
        <f>IF(J191="","",J191+9)</f>
        <v/>
      </c>
      <c r="M191" s="5">
        <f>IF(J191="","",J191+16)</f>
        <v/>
      </c>
      <c r="N191" s="4">
        <f>IF(OR(I191="Contacted",I191="Terms sent"),IF(TODAY()&gt;=M191,"Close (step 3)",IF(TODAY()&gt;=L191,"Follow-up 2",IF(TODAY()&gt;=K191,"Follow-up 1",""))),IF(I191="Shortlisted",IF(G191="","Score it",""),""))</f>
        <v/>
      </c>
      <c r="O191" s="5" t="n"/>
      <c r="P191" s="4" t="n"/>
      <c r="Q191" s="4" t="n"/>
      <c r="R191" s="5" t="n"/>
      <c r="S191" s="4" t="n"/>
      <c r="T191" s="4" t="n"/>
      <c r="U191" s="13" t="n"/>
      <c r="V191" s="13" t="n"/>
      <c r="W191" s="13" t="n"/>
      <c r="X191" s="14" t="n"/>
      <c r="Y191" s="14" t="n"/>
      <c r="Z191" s="8" t="n"/>
    </row>
    <row r="192">
      <c r="A192" s="4" t="n"/>
      <c r="B192" s="8" t="n"/>
      <c r="C192" s="4" t="n"/>
      <c r="D192" s="4" t="n"/>
      <c r="E192" s="4" t="n"/>
      <c r="F192" s="12" t="n"/>
      <c r="G192" s="4" t="n"/>
      <c r="H192" s="4" t="n"/>
      <c r="I192" s="4" t="n"/>
      <c r="J192" s="5" t="n"/>
      <c r="K192" s="5">
        <f>IF(J192="","",J192+4)</f>
        <v/>
      </c>
      <c r="L192" s="5">
        <f>IF(J192="","",J192+9)</f>
        <v/>
      </c>
      <c r="M192" s="5">
        <f>IF(J192="","",J192+16)</f>
        <v/>
      </c>
      <c r="N192" s="4">
        <f>IF(OR(I192="Contacted",I192="Terms sent"),IF(TODAY()&gt;=M192,"Close (step 3)",IF(TODAY()&gt;=L192,"Follow-up 2",IF(TODAY()&gt;=K192,"Follow-up 1",""))),IF(I192="Shortlisted",IF(G192="","Score it",""),""))</f>
        <v/>
      </c>
      <c r="O192" s="5" t="n"/>
      <c r="P192" s="4" t="n"/>
      <c r="Q192" s="4" t="n"/>
      <c r="R192" s="5" t="n"/>
      <c r="S192" s="4" t="n"/>
      <c r="T192" s="4" t="n"/>
      <c r="U192" s="13" t="n"/>
      <c r="V192" s="13" t="n"/>
      <c r="W192" s="13" t="n"/>
      <c r="X192" s="14" t="n"/>
      <c r="Y192" s="14" t="n"/>
      <c r="Z192" s="8" t="n"/>
    </row>
    <row r="193">
      <c r="A193" s="4" t="n"/>
      <c r="B193" s="8" t="n"/>
      <c r="C193" s="4" t="n"/>
      <c r="D193" s="4" t="n"/>
      <c r="E193" s="4" t="n"/>
      <c r="F193" s="12" t="n"/>
      <c r="G193" s="4" t="n"/>
      <c r="H193" s="4" t="n"/>
      <c r="I193" s="4" t="n"/>
      <c r="J193" s="5" t="n"/>
      <c r="K193" s="5">
        <f>IF(J193="","",J193+4)</f>
        <v/>
      </c>
      <c r="L193" s="5">
        <f>IF(J193="","",J193+9)</f>
        <v/>
      </c>
      <c r="M193" s="5">
        <f>IF(J193="","",J193+16)</f>
        <v/>
      </c>
      <c r="N193" s="4">
        <f>IF(OR(I193="Contacted",I193="Terms sent"),IF(TODAY()&gt;=M193,"Close (step 3)",IF(TODAY()&gt;=L193,"Follow-up 2",IF(TODAY()&gt;=K193,"Follow-up 1",""))),IF(I193="Shortlisted",IF(G193="","Score it",""),""))</f>
        <v/>
      </c>
      <c r="O193" s="5" t="n"/>
      <c r="P193" s="4" t="n"/>
      <c r="Q193" s="4" t="n"/>
      <c r="R193" s="5" t="n"/>
      <c r="S193" s="4" t="n"/>
      <c r="T193" s="4" t="n"/>
      <c r="U193" s="13" t="n"/>
      <c r="V193" s="13" t="n"/>
      <c r="W193" s="13" t="n"/>
      <c r="X193" s="14" t="n"/>
      <c r="Y193" s="14" t="n"/>
      <c r="Z193" s="8" t="n"/>
    </row>
    <row r="194">
      <c r="A194" s="4" t="n"/>
      <c r="B194" s="8" t="n"/>
      <c r="C194" s="4" t="n"/>
      <c r="D194" s="4" t="n"/>
      <c r="E194" s="4" t="n"/>
      <c r="F194" s="12" t="n"/>
      <c r="G194" s="4" t="n"/>
      <c r="H194" s="4" t="n"/>
      <c r="I194" s="4" t="n"/>
      <c r="J194" s="5" t="n"/>
      <c r="K194" s="5">
        <f>IF(J194="","",J194+4)</f>
        <v/>
      </c>
      <c r="L194" s="5">
        <f>IF(J194="","",J194+9)</f>
        <v/>
      </c>
      <c r="M194" s="5">
        <f>IF(J194="","",J194+16)</f>
        <v/>
      </c>
      <c r="N194" s="4">
        <f>IF(OR(I194="Contacted",I194="Terms sent"),IF(TODAY()&gt;=M194,"Close (step 3)",IF(TODAY()&gt;=L194,"Follow-up 2",IF(TODAY()&gt;=K194,"Follow-up 1",""))),IF(I194="Shortlisted",IF(G194="","Score it",""),""))</f>
        <v/>
      </c>
      <c r="O194" s="5" t="n"/>
      <c r="P194" s="4" t="n"/>
      <c r="Q194" s="4" t="n"/>
      <c r="R194" s="5" t="n"/>
      <c r="S194" s="4" t="n"/>
      <c r="T194" s="4" t="n"/>
      <c r="U194" s="13" t="n"/>
      <c r="V194" s="13" t="n"/>
      <c r="W194" s="13" t="n"/>
      <c r="X194" s="14" t="n"/>
      <c r="Y194" s="14" t="n"/>
      <c r="Z194" s="8" t="n"/>
    </row>
    <row r="195">
      <c r="A195" s="4" t="n"/>
      <c r="B195" s="8" t="n"/>
      <c r="C195" s="4" t="n"/>
      <c r="D195" s="4" t="n"/>
      <c r="E195" s="4" t="n"/>
      <c r="F195" s="12" t="n"/>
      <c r="G195" s="4" t="n"/>
      <c r="H195" s="4" t="n"/>
      <c r="I195" s="4" t="n"/>
      <c r="J195" s="5" t="n"/>
      <c r="K195" s="5">
        <f>IF(J195="","",J195+4)</f>
        <v/>
      </c>
      <c r="L195" s="5">
        <f>IF(J195="","",J195+9)</f>
        <v/>
      </c>
      <c r="M195" s="5">
        <f>IF(J195="","",J195+16)</f>
        <v/>
      </c>
      <c r="N195" s="4">
        <f>IF(OR(I195="Contacted",I195="Terms sent"),IF(TODAY()&gt;=M195,"Close (step 3)",IF(TODAY()&gt;=L195,"Follow-up 2",IF(TODAY()&gt;=K195,"Follow-up 1",""))),IF(I195="Shortlisted",IF(G195="","Score it",""),""))</f>
        <v/>
      </c>
      <c r="O195" s="5" t="n"/>
      <c r="P195" s="4" t="n"/>
      <c r="Q195" s="4" t="n"/>
      <c r="R195" s="5" t="n"/>
      <c r="S195" s="4" t="n"/>
      <c r="T195" s="4" t="n"/>
      <c r="U195" s="13" t="n"/>
      <c r="V195" s="13" t="n"/>
      <c r="W195" s="13" t="n"/>
      <c r="X195" s="14" t="n"/>
      <c r="Y195" s="14" t="n"/>
      <c r="Z195" s="8" t="n"/>
    </row>
    <row r="196">
      <c r="A196" s="4" t="n"/>
      <c r="B196" s="8" t="n"/>
      <c r="C196" s="4" t="n"/>
      <c r="D196" s="4" t="n"/>
      <c r="E196" s="4" t="n"/>
      <c r="F196" s="12" t="n"/>
      <c r="G196" s="4" t="n"/>
      <c r="H196" s="4" t="n"/>
      <c r="I196" s="4" t="n"/>
      <c r="J196" s="5" t="n"/>
      <c r="K196" s="5">
        <f>IF(J196="","",J196+4)</f>
        <v/>
      </c>
      <c r="L196" s="5">
        <f>IF(J196="","",J196+9)</f>
        <v/>
      </c>
      <c r="M196" s="5">
        <f>IF(J196="","",J196+16)</f>
        <v/>
      </c>
      <c r="N196" s="4">
        <f>IF(OR(I196="Contacted",I196="Terms sent"),IF(TODAY()&gt;=M196,"Close (step 3)",IF(TODAY()&gt;=L196,"Follow-up 2",IF(TODAY()&gt;=K196,"Follow-up 1",""))),IF(I196="Shortlisted",IF(G196="","Score it",""),""))</f>
        <v/>
      </c>
      <c r="O196" s="5" t="n"/>
      <c r="P196" s="4" t="n"/>
      <c r="Q196" s="4" t="n"/>
      <c r="R196" s="5" t="n"/>
      <c r="S196" s="4" t="n"/>
      <c r="T196" s="4" t="n"/>
      <c r="U196" s="13" t="n"/>
      <c r="V196" s="13" t="n"/>
      <c r="W196" s="13" t="n"/>
      <c r="X196" s="14" t="n"/>
      <c r="Y196" s="14" t="n"/>
      <c r="Z196" s="8" t="n"/>
    </row>
    <row r="197">
      <c r="A197" s="4" t="n"/>
      <c r="B197" s="8" t="n"/>
      <c r="C197" s="4" t="n"/>
      <c r="D197" s="4" t="n"/>
      <c r="E197" s="4" t="n"/>
      <c r="F197" s="12" t="n"/>
      <c r="G197" s="4" t="n"/>
      <c r="H197" s="4" t="n"/>
      <c r="I197" s="4" t="n"/>
      <c r="J197" s="5" t="n"/>
      <c r="K197" s="5">
        <f>IF(J197="","",J197+4)</f>
        <v/>
      </c>
      <c r="L197" s="5">
        <f>IF(J197="","",J197+9)</f>
        <v/>
      </c>
      <c r="M197" s="5">
        <f>IF(J197="","",J197+16)</f>
        <v/>
      </c>
      <c r="N197" s="4">
        <f>IF(OR(I197="Contacted",I197="Terms sent"),IF(TODAY()&gt;=M197,"Close (step 3)",IF(TODAY()&gt;=L197,"Follow-up 2",IF(TODAY()&gt;=K197,"Follow-up 1",""))),IF(I197="Shortlisted",IF(G197="","Score it",""),""))</f>
        <v/>
      </c>
      <c r="O197" s="5" t="n"/>
      <c r="P197" s="4" t="n"/>
      <c r="Q197" s="4" t="n"/>
      <c r="R197" s="5" t="n"/>
      <c r="S197" s="4" t="n"/>
      <c r="T197" s="4" t="n"/>
      <c r="U197" s="13" t="n"/>
      <c r="V197" s="13" t="n"/>
      <c r="W197" s="13" t="n"/>
      <c r="X197" s="14" t="n"/>
      <c r="Y197" s="14" t="n"/>
      <c r="Z197" s="8" t="n"/>
    </row>
    <row r="198">
      <c r="A198" s="4" t="n"/>
      <c r="B198" s="8" t="n"/>
      <c r="C198" s="4" t="n"/>
      <c r="D198" s="4" t="n"/>
      <c r="E198" s="4" t="n"/>
      <c r="F198" s="12" t="n"/>
      <c r="G198" s="4" t="n"/>
      <c r="H198" s="4" t="n"/>
      <c r="I198" s="4" t="n"/>
      <c r="J198" s="5" t="n"/>
      <c r="K198" s="5">
        <f>IF(J198="","",J198+4)</f>
        <v/>
      </c>
      <c r="L198" s="5">
        <f>IF(J198="","",J198+9)</f>
        <v/>
      </c>
      <c r="M198" s="5">
        <f>IF(J198="","",J198+16)</f>
        <v/>
      </c>
      <c r="N198" s="4">
        <f>IF(OR(I198="Contacted",I198="Terms sent"),IF(TODAY()&gt;=M198,"Close (step 3)",IF(TODAY()&gt;=L198,"Follow-up 2",IF(TODAY()&gt;=K198,"Follow-up 1",""))),IF(I198="Shortlisted",IF(G198="","Score it",""),""))</f>
        <v/>
      </c>
      <c r="O198" s="5" t="n"/>
      <c r="P198" s="4" t="n"/>
      <c r="Q198" s="4" t="n"/>
      <c r="R198" s="5" t="n"/>
      <c r="S198" s="4" t="n"/>
      <c r="T198" s="4" t="n"/>
      <c r="U198" s="13" t="n"/>
      <c r="V198" s="13" t="n"/>
      <c r="W198" s="13" t="n"/>
      <c r="X198" s="14" t="n"/>
      <c r="Y198" s="14" t="n"/>
      <c r="Z198" s="8" t="n"/>
    </row>
    <row r="199">
      <c r="A199" s="4" t="n"/>
      <c r="B199" s="8" t="n"/>
      <c r="C199" s="4" t="n"/>
      <c r="D199" s="4" t="n"/>
      <c r="E199" s="4" t="n"/>
      <c r="F199" s="12" t="n"/>
      <c r="G199" s="4" t="n"/>
      <c r="H199" s="4" t="n"/>
      <c r="I199" s="4" t="n"/>
      <c r="J199" s="5" t="n"/>
      <c r="K199" s="5">
        <f>IF(J199="","",J199+4)</f>
        <v/>
      </c>
      <c r="L199" s="5">
        <f>IF(J199="","",J199+9)</f>
        <v/>
      </c>
      <c r="M199" s="5">
        <f>IF(J199="","",J199+16)</f>
        <v/>
      </c>
      <c r="N199" s="4">
        <f>IF(OR(I199="Contacted",I199="Terms sent"),IF(TODAY()&gt;=M199,"Close (step 3)",IF(TODAY()&gt;=L199,"Follow-up 2",IF(TODAY()&gt;=K199,"Follow-up 1",""))),IF(I199="Shortlisted",IF(G199="","Score it",""),""))</f>
        <v/>
      </c>
      <c r="O199" s="5" t="n"/>
      <c r="P199" s="4" t="n"/>
      <c r="Q199" s="4" t="n"/>
      <c r="R199" s="5" t="n"/>
      <c r="S199" s="4" t="n"/>
      <c r="T199" s="4" t="n"/>
      <c r="U199" s="13" t="n"/>
      <c r="V199" s="13" t="n"/>
      <c r="W199" s="13" t="n"/>
      <c r="X199" s="14" t="n"/>
      <c r="Y199" s="14" t="n"/>
      <c r="Z199" s="8" t="n"/>
    </row>
    <row r="200">
      <c r="A200" s="4" t="n"/>
      <c r="B200" s="8" t="n"/>
      <c r="C200" s="4" t="n"/>
      <c r="D200" s="4" t="n"/>
      <c r="E200" s="4" t="n"/>
      <c r="F200" s="12" t="n"/>
      <c r="G200" s="4" t="n"/>
      <c r="H200" s="4" t="n"/>
      <c r="I200" s="4" t="n"/>
      <c r="J200" s="5" t="n"/>
      <c r="K200" s="5">
        <f>IF(J200="","",J200+4)</f>
        <v/>
      </c>
      <c r="L200" s="5">
        <f>IF(J200="","",J200+9)</f>
        <v/>
      </c>
      <c r="M200" s="5">
        <f>IF(J200="","",J200+16)</f>
        <v/>
      </c>
      <c r="N200" s="4">
        <f>IF(OR(I200="Contacted",I200="Terms sent"),IF(TODAY()&gt;=M200,"Close (step 3)",IF(TODAY()&gt;=L200,"Follow-up 2",IF(TODAY()&gt;=K200,"Follow-up 1",""))),IF(I200="Shortlisted",IF(G200="","Score it",""),""))</f>
        <v/>
      </c>
      <c r="O200" s="5" t="n"/>
      <c r="P200" s="4" t="n"/>
      <c r="Q200" s="4" t="n"/>
      <c r="R200" s="5" t="n"/>
      <c r="S200" s="4" t="n"/>
      <c r="T200" s="4" t="n"/>
      <c r="U200" s="13" t="n"/>
      <c r="V200" s="13" t="n"/>
      <c r="W200" s="13" t="n"/>
      <c r="X200" s="14" t="n"/>
      <c r="Y200" s="14" t="n"/>
      <c r="Z200" s="8" t="n"/>
    </row>
    <row r="201">
      <c r="A201" s="4" t="n"/>
      <c r="B201" s="8" t="n"/>
      <c r="C201" s="4" t="n"/>
      <c r="D201" s="4" t="n"/>
      <c r="E201" s="4" t="n"/>
      <c r="F201" s="12" t="n"/>
      <c r="G201" s="4" t="n"/>
      <c r="H201" s="4" t="n"/>
      <c r="I201" s="4" t="n"/>
      <c r="J201" s="5" t="n"/>
      <c r="K201" s="5">
        <f>IF(J201="","",J201+4)</f>
        <v/>
      </c>
      <c r="L201" s="5">
        <f>IF(J201="","",J201+9)</f>
        <v/>
      </c>
      <c r="M201" s="5">
        <f>IF(J201="","",J201+16)</f>
        <v/>
      </c>
      <c r="N201" s="4">
        <f>IF(OR(I201="Contacted",I201="Terms sent"),IF(TODAY()&gt;=M201,"Close (step 3)",IF(TODAY()&gt;=L201,"Follow-up 2",IF(TODAY()&gt;=K201,"Follow-up 1",""))),IF(I201="Shortlisted",IF(G201="","Score it",""),""))</f>
        <v/>
      </c>
      <c r="O201" s="5" t="n"/>
      <c r="P201" s="4" t="n"/>
      <c r="Q201" s="4" t="n"/>
      <c r="R201" s="5" t="n"/>
      <c r="S201" s="4" t="n"/>
      <c r="T201" s="4" t="n"/>
      <c r="U201" s="13" t="n"/>
      <c r="V201" s="13" t="n"/>
      <c r="W201" s="13" t="n"/>
      <c r="X201" s="14" t="n"/>
      <c r="Y201" s="14" t="n"/>
      <c r="Z201" s="8" t="n"/>
    </row>
    <row r="202">
      <c r="A202" s="4" t="n"/>
      <c r="B202" s="8" t="n"/>
      <c r="C202" s="4" t="n"/>
      <c r="D202" s="4" t="n"/>
      <c r="E202" s="4" t="n"/>
      <c r="F202" s="12" t="n"/>
      <c r="G202" s="4" t="n"/>
      <c r="H202" s="4" t="n"/>
      <c r="I202" s="4" t="n"/>
      <c r="J202" s="5" t="n"/>
      <c r="K202" s="5">
        <f>IF(J202="","",J202+4)</f>
        <v/>
      </c>
      <c r="L202" s="5">
        <f>IF(J202="","",J202+9)</f>
        <v/>
      </c>
      <c r="M202" s="5">
        <f>IF(J202="","",J202+16)</f>
        <v/>
      </c>
      <c r="N202" s="4">
        <f>IF(OR(I202="Contacted",I202="Terms sent"),IF(TODAY()&gt;=M202,"Close (step 3)",IF(TODAY()&gt;=L202,"Follow-up 2",IF(TODAY()&gt;=K202,"Follow-up 1",""))),IF(I202="Shortlisted",IF(G202="","Score it",""),""))</f>
        <v/>
      </c>
      <c r="O202" s="5" t="n"/>
      <c r="P202" s="4" t="n"/>
      <c r="Q202" s="4" t="n"/>
      <c r="R202" s="5" t="n"/>
      <c r="S202" s="4" t="n"/>
      <c r="T202" s="4" t="n"/>
      <c r="U202" s="13" t="n"/>
      <c r="V202" s="13" t="n"/>
      <c r="W202" s="13" t="n"/>
      <c r="X202" s="14" t="n"/>
      <c r="Y202" s="14" t="n"/>
      <c r="Z202" s="8" t="n"/>
    </row>
    <row r="203">
      <c r="A203" s="4" t="n"/>
      <c r="B203" s="8" t="n"/>
      <c r="C203" s="4" t="n"/>
      <c r="D203" s="4" t="n"/>
      <c r="E203" s="4" t="n"/>
      <c r="F203" s="12" t="n"/>
      <c r="G203" s="4" t="n"/>
      <c r="H203" s="4" t="n"/>
      <c r="I203" s="4" t="n"/>
      <c r="J203" s="5" t="n"/>
      <c r="K203" s="5">
        <f>IF(J203="","",J203+4)</f>
        <v/>
      </c>
      <c r="L203" s="5">
        <f>IF(J203="","",J203+9)</f>
        <v/>
      </c>
      <c r="M203" s="5">
        <f>IF(J203="","",J203+16)</f>
        <v/>
      </c>
      <c r="N203" s="4">
        <f>IF(OR(I203="Contacted",I203="Terms sent"),IF(TODAY()&gt;=M203,"Close (step 3)",IF(TODAY()&gt;=L203,"Follow-up 2",IF(TODAY()&gt;=K203,"Follow-up 1",""))),IF(I203="Shortlisted",IF(G203="","Score it",""),""))</f>
        <v/>
      </c>
      <c r="O203" s="5" t="n"/>
      <c r="P203" s="4" t="n"/>
      <c r="Q203" s="4" t="n"/>
      <c r="R203" s="5" t="n"/>
      <c r="S203" s="4" t="n"/>
      <c r="T203" s="4" t="n"/>
      <c r="U203" s="13" t="n"/>
      <c r="V203" s="13" t="n"/>
      <c r="W203" s="13" t="n"/>
      <c r="X203" s="14" t="n"/>
      <c r="Y203" s="14" t="n"/>
      <c r="Z203" s="8" t="n"/>
    </row>
    <row r="204">
      <c r="A204" s="4" t="n"/>
      <c r="B204" s="8" t="n"/>
      <c r="C204" s="4" t="n"/>
      <c r="D204" s="4" t="n"/>
      <c r="E204" s="4" t="n"/>
      <c r="F204" s="12" t="n"/>
      <c r="G204" s="4" t="n"/>
      <c r="H204" s="4" t="n"/>
      <c r="I204" s="4" t="n"/>
      <c r="J204" s="5" t="n"/>
      <c r="K204" s="5">
        <f>IF(J204="","",J204+4)</f>
        <v/>
      </c>
      <c r="L204" s="5">
        <f>IF(J204="","",J204+9)</f>
        <v/>
      </c>
      <c r="M204" s="5">
        <f>IF(J204="","",J204+16)</f>
        <v/>
      </c>
      <c r="N204" s="4">
        <f>IF(OR(I204="Contacted",I204="Terms sent"),IF(TODAY()&gt;=M204,"Close (step 3)",IF(TODAY()&gt;=L204,"Follow-up 2",IF(TODAY()&gt;=K204,"Follow-up 1",""))),IF(I204="Shortlisted",IF(G204="","Score it",""),""))</f>
        <v/>
      </c>
      <c r="O204" s="5" t="n"/>
      <c r="P204" s="4" t="n"/>
      <c r="Q204" s="4" t="n"/>
      <c r="R204" s="5" t="n"/>
      <c r="S204" s="4" t="n"/>
      <c r="T204" s="4" t="n"/>
      <c r="U204" s="13" t="n"/>
      <c r="V204" s="13" t="n"/>
      <c r="W204" s="13" t="n"/>
      <c r="X204" s="14" t="n"/>
      <c r="Y204" s="14" t="n"/>
      <c r="Z204" s="8" t="n"/>
    </row>
    <row r="205">
      <c r="A205" s="4" t="n"/>
      <c r="B205" s="8" t="n"/>
      <c r="C205" s="4" t="n"/>
      <c r="D205" s="4" t="n"/>
      <c r="E205" s="4" t="n"/>
      <c r="F205" s="12" t="n"/>
      <c r="G205" s="4" t="n"/>
      <c r="H205" s="4" t="n"/>
      <c r="I205" s="4" t="n"/>
      <c r="J205" s="5" t="n"/>
      <c r="K205" s="5">
        <f>IF(J205="","",J205+4)</f>
        <v/>
      </c>
      <c r="L205" s="5">
        <f>IF(J205="","",J205+9)</f>
        <v/>
      </c>
      <c r="M205" s="5">
        <f>IF(J205="","",J205+16)</f>
        <v/>
      </c>
      <c r="N205" s="4">
        <f>IF(OR(I205="Contacted",I205="Terms sent"),IF(TODAY()&gt;=M205,"Close (step 3)",IF(TODAY()&gt;=L205,"Follow-up 2",IF(TODAY()&gt;=K205,"Follow-up 1",""))),IF(I205="Shortlisted",IF(G205="","Score it",""),""))</f>
        <v/>
      </c>
      <c r="O205" s="5" t="n"/>
      <c r="P205" s="4" t="n"/>
      <c r="Q205" s="4" t="n"/>
      <c r="R205" s="5" t="n"/>
      <c r="S205" s="4" t="n"/>
      <c r="T205" s="4" t="n"/>
      <c r="U205" s="13" t="n"/>
      <c r="V205" s="13" t="n"/>
      <c r="W205" s="13" t="n"/>
      <c r="X205" s="14" t="n"/>
      <c r="Y205" s="14" t="n"/>
      <c r="Z205" s="8" t="n"/>
    </row>
    <row r="206">
      <c r="A206" s="4" t="n"/>
      <c r="B206" s="8" t="n"/>
      <c r="C206" s="4" t="n"/>
      <c r="D206" s="4" t="n"/>
      <c r="E206" s="4" t="n"/>
      <c r="F206" s="12" t="n"/>
      <c r="G206" s="4" t="n"/>
      <c r="H206" s="4" t="n"/>
      <c r="I206" s="4" t="n"/>
      <c r="J206" s="5" t="n"/>
      <c r="K206" s="5">
        <f>IF(J206="","",J206+4)</f>
        <v/>
      </c>
      <c r="L206" s="5">
        <f>IF(J206="","",J206+9)</f>
        <v/>
      </c>
      <c r="M206" s="5">
        <f>IF(J206="","",J206+16)</f>
        <v/>
      </c>
      <c r="N206" s="4">
        <f>IF(OR(I206="Contacted",I206="Terms sent"),IF(TODAY()&gt;=M206,"Close (step 3)",IF(TODAY()&gt;=L206,"Follow-up 2",IF(TODAY()&gt;=K206,"Follow-up 1",""))),IF(I206="Shortlisted",IF(G206="","Score it",""),""))</f>
        <v/>
      </c>
      <c r="O206" s="5" t="n"/>
      <c r="P206" s="4" t="n"/>
      <c r="Q206" s="4" t="n"/>
      <c r="R206" s="5" t="n"/>
      <c r="S206" s="4" t="n"/>
      <c r="T206" s="4" t="n"/>
      <c r="U206" s="13" t="n"/>
      <c r="V206" s="13" t="n"/>
      <c r="W206" s="13" t="n"/>
      <c r="X206" s="14" t="n"/>
      <c r="Y206" s="14" t="n"/>
      <c r="Z206" s="8" t="n"/>
    </row>
    <row r="207">
      <c r="A207" s="4" t="n"/>
      <c r="B207" s="8" t="n"/>
      <c r="C207" s="4" t="n"/>
      <c r="D207" s="4" t="n"/>
      <c r="E207" s="4" t="n"/>
      <c r="F207" s="12" t="n"/>
      <c r="G207" s="4" t="n"/>
      <c r="H207" s="4" t="n"/>
      <c r="I207" s="4" t="n"/>
      <c r="J207" s="5" t="n"/>
      <c r="K207" s="5">
        <f>IF(J207="","",J207+4)</f>
        <v/>
      </c>
      <c r="L207" s="5">
        <f>IF(J207="","",J207+9)</f>
        <v/>
      </c>
      <c r="M207" s="5">
        <f>IF(J207="","",J207+16)</f>
        <v/>
      </c>
      <c r="N207" s="4">
        <f>IF(OR(I207="Contacted",I207="Terms sent"),IF(TODAY()&gt;=M207,"Close (step 3)",IF(TODAY()&gt;=L207,"Follow-up 2",IF(TODAY()&gt;=K207,"Follow-up 1",""))),IF(I207="Shortlisted",IF(G207="","Score it",""),""))</f>
        <v/>
      </c>
      <c r="O207" s="5" t="n"/>
      <c r="P207" s="4" t="n"/>
      <c r="Q207" s="4" t="n"/>
      <c r="R207" s="5" t="n"/>
      <c r="S207" s="4" t="n"/>
      <c r="T207" s="4" t="n"/>
      <c r="U207" s="13" t="n"/>
      <c r="V207" s="13" t="n"/>
      <c r="W207" s="13" t="n"/>
      <c r="X207" s="14" t="n"/>
      <c r="Y207" s="14" t="n"/>
      <c r="Z207" s="8" t="n"/>
    </row>
    <row r="208">
      <c r="A208" s="4" t="n"/>
      <c r="B208" s="8" t="n"/>
      <c r="C208" s="4" t="n"/>
      <c r="D208" s="4" t="n"/>
      <c r="E208" s="4" t="n"/>
      <c r="F208" s="12" t="n"/>
      <c r="G208" s="4" t="n"/>
      <c r="H208" s="4" t="n"/>
      <c r="I208" s="4" t="n"/>
      <c r="J208" s="5" t="n"/>
      <c r="K208" s="5">
        <f>IF(J208="","",J208+4)</f>
        <v/>
      </c>
      <c r="L208" s="5">
        <f>IF(J208="","",J208+9)</f>
        <v/>
      </c>
      <c r="M208" s="5">
        <f>IF(J208="","",J208+16)</f>
        <v/>
      </c>
      <c r="N208" s="4">
        <f>IF(OR(I208="Contacted",I208="Terms sent"),IF(TODAY()&gt;=M208,"Close (step 3)",IF(TODAY()&gt;=L208,"Follow-up 2",IF(TODAY()&gt;=K208,"Follow-up 1",""))),IF(I208="Shortlisted",IF(G208="","Score it",""),""))</f>
        <v/>
      </c>
      <c r="O208" s="5" t="n"/>
      <c r="P208" s="4" t="n"/>
      <c r="Q208" s="4" t="n"/>
      <c r="R208" s="5" t="n"/>
      <c r="S208" s="4" t="n"/>
      <c r="T208" s="4" t="n"/>
      <c r="U208" s="13" t="n"/>
      <c r="V208" s="13" t="n"/>
      <c r="W208" s="13" t="n"/>
      <c r="X208" s="14" t="n"/>
      <c r="Y208" s="14" t="n"/>
      <c r="Z208" s="8" t="n"/>
    </row>
    <row r="209">
      <c r="A209" s="4" t="n"/>
      <c r="B209" s="8" t="n"/>
      <c r="C209" s="4" t="n"/>
      <c r="D209" s="4" t="n"/>
      <c r="E209" s="4" t="n"/>
      <c r="F209" s="12" t="n"/>
      <c r="G209" s="4" t="n"/>
      <c r="H209" s="4" t="n"/>
      <c r="I209" s="4" t="n"/>
      <c r="J209" s="5" t="n"/>
      <c r="K209" s="5">
        <f>IF(J209="","",J209+4)</f>
        <v/>
      </c>
      <c r="L209" s="5">
        <f>IF(J209="","",J209+9)</f>
        <v/>
      </c>
      <c r="M209" s="5">
        <f>IF(J209="","",J209+16)</f>
        <v/>
      </c>
      <c r="N209" s="4">
        <f>IF(OR(I209="Contacted",I209="Terms sent"),IF(TODAY()&gt;=M209,"Close (step 3)",IF(TODAY()&gt;=L209,"Follow-up 2",IF(TODAY()&gt;=K209,"Follow-up 1",""))),IF(I209="Shortlisted",IF(G209="","Score it",""),""))</f>
        <v/>
      </c>
      <c r="O209" s="5" t="n"/>
      <c r="P209" s="4" t="n"/>
      <c r="Q209" s="4" t="n"/>
      <c r="R209" s="5" t="n"/>
      <c r="S209" s="4" t="n"/>
      <c r="T209" s="4" t="n"/>
      <c r="U209" s="13" t="n"/>
      <c r="V209" s="13" t="n"/>
      <c r="W209" s="13" t="n"/>
      <c r="X209" s="14" t="n"/>
      <c r="Y209" s="14" t="n"/>
      <c r="Z209" s="8" t="n"/>
    </row>
    <row r="210">
      <c r="A210" s="4" t="n"/>
      <c r="B210" s="8" t="n"/>
      <c r="C210" s="4" t="n"/>
      <c r="D210" s="4" t="n"/>
      <c r="E210" s="4" t="n"/>
      <c r="F210" s="12" t="n"/>
      <c r="G210" s="4" t="n"/>
      <c r="H210" s="4" t="n"/>
      <c r="I210" s="4" t="n"/>
      <c r="J210" s="5" t="n"/>
      <c r="K210" s="5">
        <f>IF(J210="","",J210+4)</f>
        <v/>
      </c>
      <c r="L210" s="5">
        <f>IF(J210="","",J210+9)</f>
        <v/>
      </c>
      <c r="M210" s="5">
        <f>IF(J210="","",J210+16)</f>
        <v/>
      </c>
      <c r="N210" s="4">
        <f>IF(OR(I210="Contacted",I210="Terms sent"),IF(TODAY()&gt;=M210,"Close (step 3)",IF(TODAY()&gt;=L210,"Follow-up 2",IF(TODAY()&gt;=K210,"Follow-up 1",""))),IF(I210="Shortlisted",IF(G210="","Score it",""),""))</f>
        <v/>
      </c>
      <c r="O210" s="5" t="n"/>
      <c r="P210" s="4" t="n"/>
      <c r="Q210" s="4" t="n"/>
      <c r="R210" s="5" t="n"/>
      <c r="S210" s="4" t="n"/>
      <c r="T210" s="4" t="n"/>
      <c r="U210" s="13" t="n"/>
      <c r="V210" s="13" t="n"/>
      <c r="W210" s="13" t="n"/>
      <c r="X210" s="14" t="n"/>
      <c r="Y210" s="14" t="n"/>
      <c r="Z210" s="8" t="n"/>
    </row>
    <row r="211">
      <c r="A211" s="4" t="n"/>
      <c r="B211" s="8" t="n"/>
      <c r="C211" s="4" t="n"/>
      <c r="D211" s="4" t="n"/>
      <c r="E211" s="4" t="n"/>
      <c r="F211" s="12" t="n"/>
      <c r="G211" s="4" t="n"/>
      <c r="H211" s="4" t="n"/>
      <c r="I211" s="4" t="n"/>
      <c r="J211" s="5" t="n"/>
      <c r="K211" s="5">
        <f>IF(J211="","",J211+4)</f>
        <v/>
      </c>
      <c r="L211" s="5">
        <f>IF(J211="","",J211+9)</f>
        <v/>
      </c>
      <c r="M211" s="5">
        <f>IF(J211="","",J211+16)</f>
        <v/>
      </c>
      <c r="N211" s="4">
        <f>IF(OR(I211="Contacted",I211="Terms sent"),IF(TODAY()&gt;=M211,"Close (step 3)",IF(TODAY()&gt;=L211,"Follow-up 2",IF(TODAY()&gt;=K211,"Follow-up 1",""))),IF(I211="Shortlisted",IF(G211="","Score it",""),""))</f>
        <v/>
      </c>
      <c r="O211" s="5" t="n"/>
      <c r="P211" s="4" t="n"/>
      <c r="Q211" s="4" t="n"/>
      <c r="R211" s="5" t="n"/>
      <c r="S211" s="4" t="n"/>
      <c r="T211" s="4" t="n"/>
      <c r="U211" s="13" t="n"/>
      <c r="V211" s="13" t="n"/>
      <c r="W211" s="13" t="n"/>
      <c r="X211" s="14" t="n"/>
      <c r="Y211" s="14" t="n"/>
      <c r="Z211" s="8" t="n"/>
    </row>
    <row r="212">
      <c r="A212" s="4" t="n"/>
      <c r="B212" s="8" t="n"/>
      <c r="C212" s="4" t="n"/>
      <c r="D212" s="4" t="n"/>
      <c r="E212" s="4" t="n"/>
      <c r="F212" s="12" t="n"/>
      <c r="G212" s="4" t="n"/>
      <c r="H212" s="4" t="n"/>
      <c r="I212" s="4" t="n"/>
      <c r="J212" s="5" t="n"/>
      <c r="K212" s="5">
        <f>IF(J212="","",J212+4)</f>
        <v/>
      </c>
      <c r="L212" s="5">
        <f>IF(J212="","",J212+9)</f>
        <v/>
      </c>
      <c r="M212" s="5">
        <f>IF(J212="","",J212+16)</f>
        <v/>
      </c>
      <c r="N212" s="4">
        <f>IF(OR(I212="Contacted",I212="Terms sent"),IF(TODAY()&gt;=M212,"Close (step 3)",IF(TODAY()&gt;=L212,"Follow-up 2",IF(TODAY()&gt;=K212,"Follow-up 1",""))),IF(I212="Shortlisted",IF(G212="","Score it",""),""))</f>
        <v/>
      </c>
      <c r="O212" s="5" t="n"/>
      <c r="P212" s="4" t="n"/>
      <c r="Q212" s="4" t="n"/>
      <c r="R212" s="5" t="n"/>
      <c r="S212" s="4" t="n"/>
      <c r="T212" s="4" t="n"/>
      <c r="U212" s="13" t="n"/>
      <c r="V212" s="13" t="n"/>
      <c r="W212" s="13" t="n"/>
      <c r="X212" s="14" t="n"/>
      <c r="Y212" s="14" t="n"/>
      <c r="Z212" s="8" t="n"/>
    </row>
    <row r="213">
      <c r="A213" s="4" t="n"/>
      <c r="B213" s="8" t="n"/>
      <c r="C213" s="4" t="n"/>
      <c r="D213" s="4" t="n"/>
      <c r="E213" s="4" t="n"/>
      <c r="F213" s="12" t="n"/>
      <c r="G213" s="4" t="n"/>
      <c r="H213" s="4" t="n"/>
      <c r="I213" s="4" t="n"/>
      <c r="J213" s="5" t="n"/>
      <c r="K213" s="5">
        <f>IF(J213="","",J213+4)</f>
        <v/>
      </c>
      <c r="L213" s="5">
        <f>IF(J213="","",J213+9)</f>
        <v/>
      </c>
      <c r="M213" s="5">
        <f>IF(J213="","",J213+16)</f>
        <v/>
      </c>
      <c r="N213" s="4">
        <f>IF(OR(I213="Contacted",I213="Terms sent"),IF(TODAY()&gt;=M213,"Close (step 3)",IF(TODAY()&gt;=L213,"Follow-up 2",IF(TODAY()&gt;=K213,"Follow-up 1",""))),IF(I213="Shortlisted",IF(G213="","Score it",""),""))</f>
        <v/>
      </c>
      <c r="O213" s="5" t="n"/>
      <c r="P213" s="4" t="n"/>
      <c r="Q213" s="4" t="n"/>
      <c r="R213" s="5" t="n"/>
      <c r="S213" s="4" t="n"/>
      <c r="T213" s="4" t="n"/>
      <c r="U213" s="13" t="n"/>
      <c r="V213" s="13" t="n"/>
      <c r="W213" s="13" t="n"/>
      <c r="X213" s="14" t="n"/>
      <c r="Y213" s="14" t="n"/>
      <c r="Z213" s="8" t="n"/>
    </row>
    <row r="214">
      <c r="A214" s="4" t="n"/>
      <c r="B214" s="8" t="n"/>
      <c r="C214" s="4" t="n"/>
      <c r="D214" s="4" t="n"/>
      <c r="E214" s="4" t="n"/>
      <c r="F214" s="12" t="n"/>
      <c r="G214" s="4" t="n"/>
      <c r="H214" s="4" t="n"/>
      <c r="I214" s="4" t="n"/>
      <c r="J214" s="5" t="n"/>
      <c r="K214" s="5">
        <f>IF(J214="","",J214+4)</f>
        <v/>
      </c>
      <c r="L214" s="5">
        <f>IF(J214="","",J214+9)</f>
        <v/>
      </c>
      <c r="M214" s="5">
        <f>IF(J214="","",J214+16)</f>
        <v/>
      </c>
      <c r="N214" s="4">
        <f>IF(OR(I214="Contacted",I214="Terms sent"),IF(TODAY()&gt;=M214,"Close (step 3)",IF(TODAY()&gt;=L214,"Follow-up 2",IF(TODAY()&gt;=K214,"Follow-up 1",""))),IF(I214="Shortlisted",IF(G214="","Score it",""),""))</f>
        <v/>
      </c>
      <c r="O214" s="5" t="n"/>
      <c r="P214" s="4" t="n"/>
      <c r="Q214" s="4" t="n"/>
      <c r="R214" s="5" t="n"/>
      <c r="S214" s="4" t="n"/>
      <c r="T214" s="4" t="n"/>
      <c r="U214" s="13" t="n"/>
      <c r="V214" s="13" t="n"/>
      <c r="W214" s="13" t="n"/>
      <c r="X214" s="14" t="n"/>
      <c r="Y214" s="14" t="n"/>
      <c r="Z214" s="8" t="n"/>
    </row>
    <row r="215">
      <c r="A215" s="4" t="n"/>
      <c r="B215" s="8" t="n"/>
      <c r="C215" s="4" t="n"/>
      <c r="D215" s="4" t="n"/>
      <c r="E215" s="4" t="n"/>
      <c r="F215" s="12" t="n"/>
      <c r="G215" s="4" t="n"/>
      <c r="H215" s="4" t="n"/>
      <c r="I215" s="4" t="n"/>
      <c r="J215" s="5" t="n"/>
      <c r="K215" s="5">
        <f>IF(J215="","",J215+4)</f>
        <v/>
      </c>
      <c r="L215" s="5">
        <f>IF(J215="","",J215+9)</f>
        <v/>
      </c>
      <c r="M215" s="5">
        <f>IF(J215="","",J215+16)</f>
        <v/>
      </c>
      <c r="N215" s="4">
        <f>IF(OR(I215="Contacted",I215="Terms sent"),IF(TODAY()&gt;=M215,"Close (step 3)",IF(TODAY()&gt;=L215,"Follow-up 2",IF(TODAY()&gt;=K215,"Follow-up 1",""))),IF(I215="Shortlisted",IF(G215="","Score it",""),""))</f>
        <v/>
      </c>
      <c r="O215" s="5" t="n"/>
      <c r="P215" s="4" t="n"/>
      <c r="Q215" s="4" t="n"/>
      <c r="R215" s="5" t="n"/>
      <c r="S215" s="4" t="n"/>
      <c r="T215" s="4" t="n"/>
      <c r="U215" s="13" t="n"/>
      <c r="V215" s="13" t="n"/>
      <c r="W215" s="13" t="n"/>
      <c r="X215" s="14" t="n"/>
      <c r="Y215" s="14" t="n"/>
      <c r="Z215" s="8" t="n"/>
    </row>
    <row r="216">
      <c r="A216" s="4" t="n"/>
      <c r="B216" s="8" t="n"/>
      <c r="C216" s="4" t="n"/>
      <c r="D216" s="4" t="n"/>
      <c r="E216" s="4" t="n"/>
      <c r="F216" s="12" t="n"/>
      <c r="G216" s="4" t="n"/>
      <c r="H216" s="4" t="n"/>
      <c r="I216" s="4" t="n"/>
      <c r="J216" s="5" t="n"/>
      <c r="K216" s="5">
        <f>IF(J216="","",J216+4)</f>
        <v/>
      </c>
      <c r="L216" s="5">
        <f>IF(J216="","",J216+9)</f>
        <v/>
      </c>
      <c r="M216" s="5">
        <f>IF(J216="","",J216+16)</f>
        <v/>
      </c>
      <c r="N216" s="4">
        <f>IF(OR(I216="Contacted",I216="Terms sent"),IF(TODAY()&gt;=M216,"Close (step 3)",IF(TODAY()&gt;=L216,"Follow-up 2",IF(TODAY()&gt;=K216,"Follow-up 1",""))),IF(I216="Shortlisted",IF(G216="","Score it",""),""))</f>
        <v/>
      </c>
      <c r="O216" s="5" t="n"/>
      <c r="P216" s="4" t="n"/>
      <c r="Q216" s="4" t="n"/>
      <c r="R216" s="5" t="n"/>
      <c r="S216" s="4" t="n"/>
      <c r="T216" s="4" t="n"/>
      <c r="U216" s="13" t="n"/>
      <c r="V216" s="13" t="n"/>
      <c r="W216" s="13" t="n"/>
      <c r="X216" s="14" t="n"/>
      <c r="Y216" s="14" t="n"/>
      <c r="Z216" s="8" t="n"/>
    </row>
    <row r="217">
      <c r="A217" s="4" t="n"/>
      <c r="B217" s="8" t="n"/>
      <c r="C217" s="4" t="n"/>
      <c r="D217" s="4" t="n"/>
      <c r="E217" s="4" t="n"/>
      <c r="F217" s="12" t="n"/>
      <c r="G217" s="4" t="n"/>
      <c r="H217" s="4" t="n"/>
      <c r="I217" s="4" t="n"/>
      <c r="J217" s="5" t="n"/>
      <c r="K217" s="5">
        <f>IF(J217="","",J217+4)</f>
        <v/>
      </c>
      <c r="L217" s="5">
        <f>IF(J217="","",J217+9)</f>
        <v/>
      </c>
      <c r="M217" s="5">
        <f>IF(J217="","",J217+16)</f>
        <v/>
      </c>
      <c r="N217" s="4">
        <f>IF(OR(I217="Contacted",I217="Terms sent"),IF(TODAY()&gt;=M217,"Close (step 3)",IF(TODAY()&gt;=L217,"Follow-up 2",IF(TODAY()&gt;=K217,"Follow-up 1",""))),IF(I217="Shortlisted",IF(G217="","Score it",""),""))</f>
        <v/>
      </c>
      <c r="O217" s="5" t="n"/>
      <c r="P217" s="4" t="n"/>
      <c r="Q217" s="4" t="n"/>
      <c r="R217" s="5" t="n"/>
      <c r="S217" s="4" t="n"/>
      <c r="T217" s="4" t="n"/>
      <c r="U217" s="13" t="n"/>
      <c r="V217" s="13" t="n"/>
      <c r="W217" s="13" t="n"/>
      <c r="X217" s="14" t="n"/>
      <c r="Y217" s="14" t="n"/>
      <c r="Z217" s="8" t="n"/>
    </row>
    <row r="218">
      <c r="A218" s="4" t="n"/>
      <c r="B218" s="8" t="n"/>
      <c r="C218" s="4" t="n"/>
      <c r="D218" s="4" t="n"/>
      <c r="E218" s="4" t="n"/>
      <c r="F218" s="12" t="n"/>
      <c r="G218" s="4" t="n"/>
      <c r="H218" s="4" t="n"/>
      <c r="I218" s="4" t="n"/>
      <c r="J218" s="5" t="n"/>
      <c r="K218" s="5">
        <f>IF(J218="","",J218+4)</f>
        <v/>
      </c>
      <c r="L218" s="5">
        <f>IF(J218="","",J218+9)</f>
        <v/>
      </c>
      <c r="M218" s="5">
        <f>IF(J218="","",J218+16)</f>
        <v/>
      </c>
      <c r="N218" s="4">
        <f>IF(OR(I218="Contacted",I218="Terms sent"),IF(TODAY()&gt;=M218,"Close (step 3)",IF(TODAY()&gt;=L218,"Follow-up 2",IF(TODAY()&gt;=K218,"Follow-up 1",""))),IF(I218="Shortlisted",IF(G218="","Score it",""),""))</f>
        <v/>
      </c>
      <c r="O218" s="5" t="n"/>
      <c r="P218" s="4" t="n"/>
      <c r="Q218" s="4" t="n"/>
      <c r="R218" s="5" t="n"/>
      <c r="S218" s="4" t="n"/>
      <c r="T218" s="4" t="n"/>
      <c r="U218" s="13" t="n"/>
      <c r="V218" s="13" t="n"/>
      <c r="W218" s="13" t="n"/>
      <c r="X218" s="14" t="n"/>
      <c r="Y218" s="14" t="n"/>
      <c r="Z218" s="8" t="n"/>
    </row>
    <row r="219">
      <c r="A219" s="4" t="n"/>
      <c r="B219" s="8" t="n"/>
      <c r="C219" s="4" t="n"/>
      <c r="D219" s="4" t="n"/>
      <c r="E219" s="4" t="n"/>
      <c r="F219" s="12" t="n"/>
      <c r="G219" s="4" t="n"/>
      <c r="H219" s="4" t="n"/>
      <c r="I219" s="4" t="n"/>
      <c r="J219" s="5" t="n"/>
      <c r="K219" s="5">
        <f>IF(J219="","",J219+4)</f>
        <v/>
      </c>
      <c r="L219" s="5">
        <f>IF(J219="","",J219+9)</f>
        <v/>
      </c>
      <c r="M219" s="5">
        <f>IF(J219="","",J219+16)</f>
        <v/>
      </c>
      <c r="N219" s="4">
        <f>IF(OR(I219="Contacted",I219="Terms sent"),IF(TODAY()&gt;=M219,"Close (step 3)",IF(TODAY()&gt;=L219,"Follow-up 2",IF(TODAY()&gt;=K219,"Follow-up 1",""))),IF(I219="Shortlisted",IF(G219="","Score it",""),""))</f>
        <v/>
      </c>
      <c r="O219" s="5" t="n"/>
      <c r="P219" s="4" t="n"/>
      <c r="Q219" s="4" t="n"/>
      <c r="R219" s="5" t="n"/>
      <c r="S219" s="4" t="n"/>
      <c r="T219" s="4" t="n"/>
      <c r="U219" s="13" t="n"/>
      <c r="V219" s="13" t="n"/>
      <c r="W219" s="13" t="n"/>
      <c r="X219" s="14" t="n"/>
      <c r="Y219" s="14" t="n"/>
      <c r="Z219" s="8" t="n"/>
    </row>
    <row r="220">
      <c r="A220" s="4" t="n"/>
      <c r="B220" s="8" t="n"/>
      <c r="C220" s="4" t="n"/>
      <c r="D220" s="4" t="n"/>
      <c r="E220" s="4" t="n"/>
      <c r="F220" s="12" t="n"/>
      <c r="G220" s="4" t="n"/>
      <c r="H220" s="4" t="n"/>
      <c r="I220" s="4" t="n"/>
      <c r="J220" s="5" t="n"/>
      <c r="K220" s="5">
        <f>IF(J220="","",J220+4)</f>
        <v/>
      </c>
      <c r="L220" s="5">
        <f>IF(J220="","",J220+9)</f>
        <v/>
      </c>
      <c r="M220" s="5">
        <f>IF(J220="","",J220+16)</f>
        <v/>
      </c>
      <c r="N220" s="4">
        <f>IF(OR(I220="Contacted",I220="Terms sent"),IF(TODAY()&gt;=M220,"Close (step 3)",IF(TODAY()&gt;=L220,"Follow-up 2",IF(TODAY()&gt;=K220,"Follow-up 1",""))),IF(I220="Shortlisted",IF(G220="","Score it",""),""))</f>
        <v/>
      </c>
      <c r="O220" s="5" t="n"/>
      <c r="P220" s="4" t="n"/>
      <c r="Q220" s="4" t="n"/>
      <c r="R220" s="5" t="n"/>
      <c r="S220" s="4" t="n"/>
      <c r="T220" s="4" t="n"/>
      <c r="U220" s="13" t="n"/>
      <c r="V220" s="13" t="n"/>
      <c r="W220" s="13" t="n"/>
      <c r="X220" s="14" t="n"/>
      <c r="Y220" s="14" t="n"/>
      <c r="Z220" s="8" t="n"/>
    </row>
    <row r="221">
      <c r="A221" s="4" t="n"/>
      <c r="B221" s="8" t="n"/>
      <c r="C221" s="4" t="n"/>
      <c r="D221" s="4" t="n"/>
      <c r="E221" s="4" t="n"/>
      <c r="F221" s="12" t="n"/>
      <c r="G221" s="4" t="n"/>
      <c r="H221" s="4" t="n"/>
      <c r="I221" s="4" t="n"/>
      <c r="J221" s="5" t="n"/>
      <c r="K221" s="5">
        <f>IF(J221="","",J221+4)</f>
        <v/>
      </c>
      <c r="L221" s="5">
        <f>IF(J221="","",J221+9)</f>
        <v/>
      </c>
      <c r="M221" s="5">
        <f>IF(J221="","",J221+16)</f>
        <v/>
      </c>
      <c r="N221" s="4">
        <f>IF(OR(I221="Contacted",I221="Terms sent"),IF(TODAY()&gt;=M221,"Close (step 3)",IF(TODAY()&gt;=L221,"Follow-up 2",IF(TODAY()&gt;=K221,"Follow-up 1",""))),IF(I221="Shortlisted",IF(G221="","Score it",""),""))</f>
        <v/>
      </c>
      <c r="O221" s="5" t="n"/>
      <c r="P221" s="4" t="n"/>
      <c r="Q221" s="4" t="n"/>
      <c r="R221" s="5" t="n"/>
      <c r="S221" s="4" t="n"/>
      <c r="T221" s="4" t="n"/>
      <c r="U221" s="13" t="n"/>
      <c r="V221" s="13" t="n"/>
      <c r="W221" s="13" t="n"/>
      <c r="X221" s="14" t="n"/>
      <c r="Y221" s="14" t="n"/>
      <c r="Z221" s="8" t="n"/>
    </row>
    <row r="222">
      <c r="A222" s="4" t="n"/>
      <c r="B222" s="8" t="n"/>
      <c r="C222" s="4" t="n"/>
      <c r="D222" s="4" t="n"/>
      <c r="E222" s="4" t="n"/>
      <c r="F222" s="12" t="n"/>
      <c r="G222" s="4" t="n"/>
      <c r="H222" s="4" t="n"/>
      <c r="I222" s="4" t="n"/>
      <c r="J222" s="5" t="n"/>
      <c r="K222" s="5">
        <f>IF(J222="","",J222+4)</f>
        <v/>
      </c>
      <c r="L222" s="5">
        <f>IF(J222="","",J222+9)</f>
        <v/>
      </c>
      <c r="M222" s="5">
        <f>IF(J222="","",J222+16)</f>
        <v/>
      </c>
      <c r="N222" s="4">
        <f>IF(OR(I222="Contacted",I222="Terms sent"),IF(TODAY()&gt;=M222,"Close (step 3)",IF(TODAY()&gt;=L222,"Follow-up 2",IF(TODAY()&gt;=K222,"Follow-up 1",""))),IF(I222="Shortlisted",IF(G222="","Score it",""),""))</f>
        <v/>
      </c>
      <c r="O222" s="5" t="n"/>
      <c r="P222" s="4" t="n"/>
      <c r="Q222" s="4" t="n"/>
      <c r="R222" s="5" t="n"/>
      <c r="S222" s="4" t="n"/>
      <c r="T222" s="4" t="n"/>
      <c r="U222" s="13" t="n"/>
      <c r="V222" s="13" t="n"/>
      <c r="W222" s="13" t="n"/>
      <c r="X222" s="14" t="n"/>
      <c r="Y222" s="14" t="n"/>
      <c r="Z222" s="8" t="n"/>
    </row>
    <row r="223">
      <c r="A223" s="4" t="n"/>
      <c r="B223" s="8" t="n"/>
      <c r="C223" s="4" t="n"/>
      <c r="D223" s="4" t="n"/>
      <c r="E223" s="4" t="n"/>
      <c r="F223" s="12" t="n"/>
      <c r="G223" s="4" t="n"/>
      <c r="H223" s="4" t="n"/>
      <c r="I223" s="4" t="n"/>
      <c r="J223" s="5" t="n"/>
      <c r="K223" s="5">
        <f>IF(J223="","",J223+4)</f>
        <v/>
      </c>
      <c r="L223" s="5">
        <f>IF(J223="","",J223+9)</f>
        <v/>
      </c>
      <c r="M223" s="5">
        <f>IF(J223="","",J223+16)</f>
        <v/>
      </c>
      <c r="N223" s="4">
        <f>IF(OR(I223="Contacted",I223="Terms sent"),IF(TODAY()&gt;=M223,"Close (step 3)",IF(TODAY()&gt;=L223,"Follow-up 2",IF(TODAY()&gt;=K223,"Follow-up 1",""))),IF(I223="Shortlisted",IF(G223="","Score it",""),""))</f>
        <v/>
      </c>
      <c r="O223" s="5" t="n"/>
      <c r="P223" s="4" t="n"/>
      <c r="Q223" s="4" t="n"/>
      <c r="R223" s="5" t="n"/>
      <c r="S223" s="4" t="n"/>
      <c r="T223" s="4" t="n"/>
      <c r="U223" s="13" t="n"/>
      <c r="V223" s="13" t="n"/>
      <c r="W223" s="13" t="n"/>
      <c r="X223" s="14" t="n"/>
      <c r="Y223" s="14" t="n"/>
      <c r="Z223" s="8" t="n"/>
    </row>
    <row r="224">
      <c r="A224" s="4" t="n"/>
      <c r="B224" s="8" t="n"/>
      <c r="C224" s="4" t="n"/>
      <c r="D224" s="4" t="n"/>
      <c r="E224" s="4" t="n"/>
      <c r="F224" s="12" t="n"/>
      <c r="G224" s="4" t="n"/>
      <c r="H224" s="4" t="n"/>
      <c r="I224" s="4" t="n"/>
      <c r="J224" s="5" t="n"/>
      <c r="K224" s="5">
        <f>IF(J224="","",J224+4)</f>
        <v/>
      </c>
      <c r="L224" s="5">
        <f>IF(J224="","",J224+9)</f>
        <v/>
      </c>
      <c r="M224" s="5">
        <f>IF(J224="","",J224+16)</f>
        <v/>
      </c>
      <c r="N224" s="4">
        <f>IF(OR(I224="Contacted",I224="Terms sent"),IF(TODAY()&gt;=M224,"Close (step 3)",IF(TODAY()&gt;=L224,"Follow-up 2",IF(TODAY()&gt;=K224,"Follow-up 1",""))),IF(I224="Shortlisted",IF(G224="","Score it",""),""))</f>
        <v/>
      </c>
      <c r="O224" s="5" t="n"/>
      <c r="P224" s="4" t="n"/>
      <c r="Q224" s="4" t="n"/>
      <c r="R224" s="5" t="n"/>
      <c r="S224" s="4" t="n"/>
      <c r="T224" s="4" t="n"/>
      <c r="U224" s="13" t="n"/>
      <c r="V224" s="13" t="n"/>
      <c r="W224" s="13" t="n"/>
      <c r="X224" s="14" t="n"/>
      <c r="Y224" s="14" t="n"/>
      <c r="Z224" s="8" t="n"/>
    </row>
    <row r="225">
      <c r="A225" s="4" t="n"/>
      <c r="B225" s="8" t="n"/>
      <c r="C225" s="4" t="n"/>
      <c r="D225" s="4" t="n"/>
      <c r="E225" s="4" t="n"/>
      <c r="F225" s="12" t="n"/>
      <c r="G225" s="4" t="n"/>
      <c r="H225" s="4" t="n"/>
      <c r="I225" s="4" t="n"/>
      <c r="J225" s="5" t="n"/>
      <c r="K225" s="5">
        <f>IF(J225="","",J225+4)</f>
        <v/>
      </c>
      <c r="L225" s="5">
        <f>IF(J225="","",J225+9)</f>
        <v/>
      </c>
      <c r="M225" s="5">
        <f>IF(J225="","",J225+16)</f>
        <v/>
      </c>
      <c r="N225" s="4">
        <f>IF(OR(I225="Contacted",I225="Terms sent"),IF(TODAY()&gt;=M225,"Close (step 3)",IF(TODAY()&gt;=L225,"Follow-up 2",IF(TODAY()&gt;=K225,"Follow-up 1",""))),IF(I225="Shortlisted",IF(G225="","Score it",""),""))</f>
        <v/>
      </c>
      <c r="O225" s="5" t="n"/>
      <c r="P225" s="4" t="n"/>
      <c r="Q225" s="4" t="n"/>
      <c r="R225" s="5" t="n"/>
      <c r="S225" s="4" t="n"/>
      <c r="T225" s="4" t="n"/>
      <c r="U225" s="13" t="n"/>
      <c r="V225" s="13" t="n"/>
      <c r="W225" s="13" t="n"/>
      <c r="X225" s="14" t="n"/>
      <c r="Y225" s="14" t="n"/>
      <c r="Z225" s="8" t="n"/>
    </row>
    <row r="226">
      <c r="A226" s="4" t="n"/>
      <c r="B226" s="8" t="n"/>
      <c r="C226" s="4" t="n"/>
      <c r="D226" s="4" t="n"/>
      <c r="E226" s="4" t="n"/>
      <c r="F226" s="12" t="n"/>
      <c r="G226" s="4" t="n"/>
      <c r="H226" s="4" t="n"/>
      <c r="I226" s="4" t="n"/>
      <c r="J226" s="5" t="n"/>
      <c r="K226" s="5">
        <f>IF(J226="","",J226+4)</f>
        <v/>
      </c>
      <c r="L226" s="5">
        <f>IF(J226="","",J226+9)</f>
        <v/>
      </c>
      <c r="M226" s="5">
        <f>IF(J226="","",J226+16)</f>
        <v/>
      </c>
      <c r="N226" s="4">
        <f>IF(OR(I226="Contacted",I226="Terms sent"),IF(TODAY()&gt;=M226,"Close (step 3)",IF(TODAY()&gt;=L226,"Follow-up 2",IF(TODAY()&gt;=K226,"Follow-up 1",""))),IF(I226="Shortlisted",IF(G226="","Score it",""),""))</f>
        <v/>
      </c>
      <c r="O226" s="5" t="n"/>
      <c r="P226" s="4" t="n"/>
      <c r="Q226" s="4" t="n"/>
      <c r="R226" s="5" t="n"/>
      <c r="S226" s="4" t="n"/>
      <c r="T226" s="4" t="n"/>
      <c r="U226" s="13" t="n"/>
      <c r="V226" s="13" t="n"/>
      <c r="W226" s="13" t="n"/>
      <c r="X226" s="14" t="n"/>
      <c r="Y226" s="14" t="n"/>
      <c r="Z226" s="8" t="n"/>
    </row>
    <row r="227">
      <c r="A227" s="4" t="n"/>
      <c r="B227" s="8" t="n"/>
      <c r="C227" s="4" t="n"/>
      <c r="D227" s="4" t="n"/>
      <c r="E227" s="4" t="n"/>
      <c r="F227" s="12" t="n"/>
      <c r="G227" s="4" t="n"/>
      <c r="H227" s="4" t="n"/>
      <c r="I227" s="4" t="n"/>
      <c r="J227" s="5" t="n"/>
      <c r="K227" s="5">
        <f>IF(J227="","",J227+4)</f>
        <v/>
      </c>
      <c r="L227" s="5">
        <f>IF(J227="","",J227+9)</f>
        <v/>
      </c>
      <c r="M227" s="5">
        <f>IF(J227="","",J227+16)</f>
        <v/>
      </c>
      <c r="N227" s="4">
        <f>IF(OR(I227="Contacted",I227="Terms sent"),IF(TODAY()&gt;=M227,"Close (step 3)",IF(TODAY()&gt;=L227,"Follow-up 2",IF(TODAY()&gt;=K227,"Follow-up 1",""))),IF(I227="Shortlisted",IF(G227="","Score it",""),""))</f>
        <v/>
      </c>
      <c r="O227" s="5" t="n"/>
      <c r="P227" s="4" t="n"/>
      <c r="Q227" s="4" t="n"/>
      <c r="R227" s="5" t="n"/>
      <c r="S227" s="4" t="n"/>
      <c r="T227" s="4" t="n"/>
      <c r="U227" s="13" t="n"/>
      <c r="V227" s="13" t="n"/>
      <c r="W227" s="13" t="n"/>
      <c r="X227" s="14" t="n"/>
      <c r="Y227" s="14" t="n"/>
      <c r="Z227" s="8" t="n"/>
    </row>
    <row r="228">
      <c r="A228" s="4" t="n"/>
      <c r="B228" s="8" t="n"/>
      <c r="C228" s="4" t="n"/>
      <c r="D228" s="4" t="n"/>
      <c r="E228" s="4" t="n"/>
      <c r="F228" s="12" t="n"/>
      <c r="G228" s="4" t="n"/>
      <c r="H228" s="4" t="n"/>
      <c r="I228" s="4" t="n"/>
      <c r="J228" s="5" t="n"/>
      <c r="K228" s="5">
        <f>IF(J228="","",J228+4)</f>
        <v/>
      </c>
      <c r="L228" s="5">
        <f>IF(J228="","",J228+9)</f>
        <v/>
      </c>
      <c r="M228" s="5">
        <f>IF(J228="","",J228+16)</f>
        <v/>
      </c>
      <c r="N228" s="4">
        <f>IF(OR(I228="Contacted",I228="Terms sent"),IF(TODAY()&gt;=M228,"Close (step 3)",IF(TODAY()&gt;=L228,"Follow-up 2",IF(TODAY()&gt;=K228,"Follow-up 1",""))),IF(I228="Shortlisted",IF(G228="","Score it",""),""))</f>
        <v/>
      </c>
      <c r="O228" s="5" t="n"/>
      <c r="P228" s="4" t="n"/>
      <c r="Q228" s="4" t="n"/>
      <c r="R228" s="5" t="n"/>
      <c r="S228" s="4" t="n"/>
      <c r="T228" s="4" t="n"/>
      <c r="U228" s="13" t="n"/>
      <c r="V228" s="13" t="n"/>
      <c r="W228" s="13" t="n"/>
      <c r="X228" s="14" t="n"/>
      <c r="Y228" s="14" t="n"/>
      <c r="Z228" s="8" t="n"/>
    </row>
    <row r="229">
      <c r="A229" s="4" t="n"/>
      <c r="B229" s="8" t="n"/>
      <c r="C229" s="4" t="n"/>
      <c r="D229" s="4" t="n"/>
      <c r="E229" s="4" t="n"/>
      <c r="F229" s="12" t="n"/>
      <c r="G229" s="4" t="n"/>
      <c r="H229" s="4" t="n"/>
      <c r="I229" s="4" t="n"/>
      <c r="J229" s="5" t="n"/>
      <c r="K229" s="5">
        <f>IF(J229="","",J229+4)</f>
        <v/>
      </c>
      <c r="L229" s="5">
        <f>IF(J229="","",J229+9)</f>
        <v/>
      </c>
      <c r="M229" s="5">
        <f>IF(J229="","",J229+16)</f>
        <v/>
      </c>
      <c r="N229" s="4">
        <f>IF(OR(I229="Contacted",I229="Terms sent"),IF(TODAY()&gt;=M229,"Close (step 3)",IF(TODAY()&gt;=L229,"Follow-up 2",IF(TODAY()&gt;=K229,"Follow-up 1",""))),IF(I229="Shortlisted",IF(G229="","Score it",""),""))</f>
        <v/>
      </c>
      <c r="O229" s="5" t="n"/>
      <c r="P229" s="4" t="n"/>
      <c r="Q229" s="4" t="n"/>
      <c r="R229" s="5" t="n"/>
      <c r="S229" s="4" t="n"/>
      <c r="T229" s="4" t="n"/>
      <c r="U229" s="13" t="n"/>
      <c r="V229" s="13" t="n"/>
      <c r="W229" s="13" t="n"/>
      <c r="X229" s="14" t="n"/>
      <c r="Y229" s="14" t="n"/>
      <c r="Z229" s="8" t="n"/>
    </row>
    <row r="230">
      <c r="A230" s="4" t="n"/>
      <c r="B230" s="8" t="n"/>
      <c r="C230" s="4" t="n"/>
      <c r="D230" s="4" t="n"/>
      <c r="E230" s="4" t="n"/>
      <c r="F230" s="12" t="n"/>
      <c r="G230" s="4" t="n"/>
      <c r="H230" s="4" t="n"/>
      <c r="I230" s="4" t="n"/>
      <c r="J230" s="5" t="n"/>
      <c r="K230" s="5">
        <f>IF(J230="","",J230+4)</f>
        <v/>
      </c>
      <c r="L230" s="5">
        <f>IF(J230="","",J230+9)</f>
        <v/>
      </c>
      <c r="M230" s="5">
        <f>IF(J230="","",J230+16)</f>
        <v/>
      </c>
      <c r="N230" s="4">
        <f>IF(OR(I230="Contacted",I230="Terms sent"),IF(TODAY()&gt;=M230,"Close (step 3)",IF(TODAY()&gt;=L230,"Follow-up 2",IF(TODAY()&gt;=K230,"Follow-up 1",""))),IF(I230="Shortlisted",IF(G230="","Score it",""),""))</f>
        <v/>
      </c>
      <c r="O230" s="5" t="n"/>
      <c r="P230" s="4" t="n"/>
      <c r="Q230" s="4" t="n"/>
      <c r="R230" s="5" t="n"/>
      <c r="S230" s="4" t="n"/>
      <c r="T230" s="4" t="n"/>
      <c r="U230" s="13" t="n"/>
      <c r="V230" s="13" t="n"/>
      <c r="W230" s="13" t="n"/>
      <c r="X230" s="14" t="n"/>
      <c r="Y230" s="14" t="n"/>
      <c r="Z230" s="8" t="n"/>
    </row>
    <row r="231">
      <c r="A231" s="4" t="n"/>
      <c r="B231" s="8" t="n"/>
      <c r="C231" s="4" t="n"/>
      <c r="D231" s="4" t="n"/>
      <c r="E231" s="4" t="n"/>
      <c r="F231" s="12" t="n"/>
      <c r="G231" s="4" t="n"/>
      <c r="H231" s="4" t="n"/>
      <c r="I231" s="4" t="n"/>
      <c r="J231" s="5" t="n"/>
      <c r="K231" s="5">
        <f>IF(J231="","",J231+4)</f>
        <v/>
      </c>
      <c r="L231" s="5">
        <f>IF(J231="","",J231+9)</f>
        <v/>
      </c>
      <c r="M231" s="5">
        <f>IF(J231="","",J231+16)</f>
        <v/>
      </c>
      <c r="N231" s="4">
        <f>IF(OR(I231="Contacted",I231="Terms sent"),IF(TODAY()&gt;=M231,"Close (step 3)",IF(TODAY()&gt;=L231,"Follow-up 2",IF(TODAY()&gt;=K231,"Follow-up 1",""))),IF(I231="Shortlisted",IF(G231="","Score it",""),""))</f>
        <v/>
      </c>
      <c r="O231" s="5" t="n"/>
      <c r="P231" s="4" t="n"/>
      <c r="Q231" s="4" t="n"/>
      <c r="R231" s="5" t="n"/>
      <c r="S231" s="4" t="n"/>
      <c r="T231" s="4" t="n"/>
      <c r="U231" s="13" t="n"/>
      <c r="V231" s="13" t="n"/>
      <c r="W231" s="13" t="n"/>
      <c r="X231" s="14" t="n"/>
      <c r="Y231" s="14" t="n"/>
      <c r="Z231" s="8" t="n"/>
    </row>
    <row r="232">
      <c r="A232" s="4" t="n"/>
      <c r="B232" s="8" t="n"/>
      <c r="C232" s="4" t="n"/>
      <c r="D232" s="4" t="n"/>
      <c r="E232" s="4" t="n"/>
      <c r="F232" s="12" t="n"/>
      <c r="G232" s="4" t="n"/>
      <c r="H232" s="4" t="n"/>
      <c r="I232" s="4" t="n"/>
      <c r="J232" s="5" t="n"/>
      <c r="K232" s="5">
        <f>IF(J232="","",J232+4)</f>
        <v/>
      </c>
      <c r="L232" s="5">
        <f>IF(J232="","",J232+9)</f>
        <v/>
      </c>
      <c r="M232" s="5">
        <f>IF(J232="","",J232+16)</f>
        <v/>
      </c>
      <c r="N232" s="4">
        <f>IF(OR(I232="Contacted",I232="Terms sent"),IF(TODAY()&gt;=M232,"Close (step 3)",IF(TODAY()&gt;=L232,"Follow-up 2",IF(TODAY()&gt;=K232,"Follow-up 1",""))),IF(I232="Shortlisted",IF(G232="","Score it",""),""))</f>
        <v/>
      </c>
      <c r="O232" s="5" t="n"/>
      <c r="P232" s="4" t="n"/>
      <c r="Q232" s="4" t="n"/>
      <c r="R232" s="5" t="n"/>
      <c r="S232" s="4" t="n"/>
      <c r="T232" s="4" t="n"/>
      <c r="U232" s="13" t="n"/>
      <c r="V232" s="13" t="n"/>
      <c r="W232" s="13" t="n"/>
      <c r="X232" s="14" t="n"/>
      <c r="Y232" s="14" t="n"/>
      <c r="Z232" s="8" t="n"/>
    </row>
    <row r="233">
      <c r="A233" s="4" t="n"/>
      <c r="B233" s="8" t="n"/>
      <c r="C233" s="4" t="n"/>
      <c r="D233" s="4" t="n"/>
      <c r="E233" s="4" t="n"/>
      <c r="F233" s="12" t="n"/>
      <c r="G233" s="4" t="n"/>
      <c r="H233" s="4" t="n"/>
      <c r="I233" s="4" t="n"/>
      <c r="J233" s="5" t="n"/>
      <c r="K233" s="5">
        <f>IF(J233="","",J233+4)</f>
        <v/>
      </c>
      <c r="L233" s="5">
        <f>IF(J233="","",J233+9)</f>
        <v/>
      </c>
      <c r="M233" s="5">
        <f>IF(J233="","",J233+16)</f>
        <v/>
      </c>
      <c r="N233" s="4">
        <f>IF(OR(I233="Contacted",I233="Terms sent"),IF(TODAY()&gt;=M233,"Close (step 3)",IF(TODAY()&gt;=L233,"Follow-up 2",IF(TODAY()&gt;=K233,"Follow-up 1",""))),IF(I233="Shortlisted",IF(G233="","Score it",""),""))</f>
        <v/>
      </c>
      <c r="O233" s="5" t="n"/>
      <c r="P233" s="4" t="n"/>
      <c r="Q233" s="4" t="n"/>
      <c r="R233" s="5" t="n"/>
      <c r="S233" s="4" t="n"/>
      <c r="T233" s="4" t="n"/>
      <c r="U233" s="13" t="n"/>
      <c r="V233" s="13" t="n"/>
      <c r="W233" s="13" t="n"/>
      <c r="X233" s="14" t="n"/>
      <c r="Y233" s="14" t="n"/>
      <c r="Z233" s="8" t="n"/>
    </row>
    <row r="234">
      <c r="A234" s="4" t="n"/>
      <c r="B234" s="8" t="n"/>
      <c r="C234" s="4" t="n"/>
      <c r="D234" s="4" t="n"/>
      <c r="E234" s="4" t="n"/>
      <c r="F234" s="12" t="n"/>
      <c r="G234" s="4" t="n"/>
      <c r="H234" s="4" t="n"/>
      <c r="I234" s="4" t="n"/>
      <c r="J234" s="5" t="n"/>
      <c r="K234" s="5">
        <f>IF(J234="","",J234+4)</f>
        <v/>
      </c>
      <c r="L234" s="5">
        <f>IF(J234="","",J234+9)</f>
        <v/>
      </c>
      <c r="M234" s="5">
        <f>IF(J234="","",J234+16)</f>
        <v/>
      </c>
      <c r="N234" s="4">
        <f>IF(OR(I234="Contacted",I234="Terms sent"),IF(TODAY()&gt;=M234,"Close (step 3)",IF(TODAY()&gt;=L234,"Follow-up 2",IF(TODAY()&gt;=K234,"Follow-up 1",""))),IF(I234="Shortlisted",IF(G234="","Score it",""),""))</f>
        <v/>
      </c>
      <c r="O234" s="5" t="n"/>
      <c r="P234" s="4" t="n"/>
      <c r="Q234" s="4" t="n"/>
      <c r="R234" s="5" t="n"/>
      <c r="S234" s="4" t="n"/>
      <c r="T234" s="4" t="n"/>
      <c r="U234" s="13" t="n"/>
      <c r="V234" s="13" t="n"/>
      <c r="W234" s="13" t="n"/>
      <c r="X234" s="14" t="n"/>
      <c r="Y234" s="14" t="n"/>
      <c r="Z234" s="8" t="n"/>
    </row>
    <row r="235">
      <c r="A235" s="4" t="n"/>
      <c r="B235" s="8" t="n"/>
      <c r="C235" s="4" t="n"/>
      <c r="D235" s="4" t="n"/>
      <c r="E235" s="4" t="n"/>
      <c r="F235" s="12" t="n"/>
      <c r="G235" s="4" t="n"/>
      <c r="H235" s="4" t="n"/>
      <c r="I235" s="4" t="n"/>
      <c r="J235" s="5" t="n"/>
      <c r="K235" s="5">
        <f>IF(J235="","",J235+4)</f>
        <v/>
      </c>
      <c r="L235" s="5">
        <f>IF(J235="","",J235+9)</f>
        <v/>
      </c>
      <c r="M235" s="5">
        <f>IF(J235="","",J235+16)</f>
        <v/>
      </c>
      <c r="N235" s="4">
        <f>IF(OR(I235="Contacted",I235="Terms sent"),IF(TODAY()&gt;=M235,"Close (step 3)",IF(TODAY()&gt;=L235,"Follow-up 2",IF(TODAY()&gt;=K235,"Follow-up 1",""))),IF(I235="Shortlisted",IF(G235="","Score it",""),""))</f>
        <v/>
      </c>
      <c r="O235" s="5" t="n"/>
      <c r="P235" s="4" t="n"/>
      <c r="Q235" s="4" t="n"/>
      <c r="R235" s="5" t="n"/>
      <c r="S235" s="4" t="n"/>
      <c r="T235" s="4" t="n"/>
      <c r="U235" s="13" t="n"/>
      <c r="V235" s="13" t="n"/>
      <c r="W235" s="13" t="n"/>
      <c r="X235" s="14" t="n"/>
      <c r="Y235" s="14" t="n"/>
      <c r="Z235" s="8" t="n"/>
    </row>
    <row r="236">
      <c r="A236" s="4" t="n"/>
      <c r="B236" s="8" t="n"/>
      <c r="C236" s="4" t="n"/>
      <c r="D236" s="4" t="n"/>
      <c r="E236" s="4" t="n"/>
      <c r="F236" s="12" t="n"/>
      <c r="G236" s="4" t="n"/>
      <c r="H236" s="4" t="n"/>
      <c r="I236" s="4" t="n"/>
      <c r="J236" s="5" t="n"/>
      <c r="K236" s="5">
        <f>IF(J236="","",J236+4)</f>
        <v/>
      </c>
      <c r="L236" s="5">
        <f>IF(J236="","",J236+9)</f>
        <v/>
      </c>
      <c r="M236" s="5">
        <f>IF(J236="","",J236+16)</f>
        <v/>
      </c>
      <c r="N236" s="4">
        <f>IF(OR(I236="Contacted",I236="Terms sent"),IF(TODAY()&gt;=M236,"Close (step 3)",IF(TODAY()&gt;=L236,"Follow-up 2",IF(TODAY()&gt;=K236,"Follow-up 1",""))),IF(I236="Shortlisted",IF(G236="","Score it",""),""))</f>
        <v/>
      </c>
      <c r="O236" s="5" t="n"/>
      <c r="P236" s="4" t="n"/>
      <c r="Q236" s="4" t="n"/>
      <c r="R236" s="5" t="n"/>
      <c r="S236" s="4" t="n"/>
      <c r="T236" s="4" t="n"/>
      <c r="U236" s="13" t="n"/>
      <c r="V236" s="13" t="n"/>
      <c r="W236" s="13" t="n"/>
      <c r="X236" s="14" t="n"/>
      <c r="Y236" s="14" t="n"/>
      <c r="Z236" s="8" t="n"/>
    </row>
    <row r="237">
      <c r="A237" s="4" t="n"/>
      <c r="B237" s="8" t="n"/>
      <c r="C237" s="4" t="n"/>
      <c r="D237" s="4" t="n"/>
      <c r="E237" s="4" t="n"/>
      <c r="F237" s="12" t="n"/>
      <c r="G237" s="4" t="n"/>
      <c r="H237" s="4" t="n"/>
      <c r="I237" s="4" t="n"/>
      <c r="J237" s="5" t="n"/>
      <c r="K237" s="5">
        <f>IF(J237="","",J237+4)</f>
        <v/>
      </c>
      <c r="L237" s="5">
        <f>IF(J237="","",J237+9)</f>
        <v/>
      </c>
      <c r="M237" s="5">
        <f>IF(J237="","",J237+16)</f>
        <v/>
      </c>
      <c r="N237" s="4">
        <f>IF(OR(I237="Contacted",I237="Terms sent"),IF(TODAY()&gt;=M237,"Close (step 3)",IF(TODAY()&gt;=L237,"Follow-up 2",IF(TODAY()&gt;=K237,"Follow-up 1",""))),IF(I237="Shortlisted",IF(G237="","Score it",""),""))</f>
        <v/>
      </c>
      <c r="O237" s="5" t="n"/>
      <c r="P237" s="4" t="n"/>
      <c r="Q237" s="4" t="n"/>
      <c r="R237" s="5" t="n"/>
      <c r="S237" s="4" t="n"/>
      <c r="T237" s="4" t="n"/>
      <c r="U237" s="13" t="n"/>
      <c r="V237" s="13" t="n"/>
      <c r="W237" s="13" t="n"/>
      <c r="X237" s="14" t="n"/>
      <c r="Y237" s="14" t="n"/>
      <c r="Z237" s="8" t="n"/>
    </row>
    <row r="238">
      <c r="A238" s="4" t="n"/>
      <c r="B238" s="8" t="n"/>
      <c r="C238" s="4" t="n"/>
      <c r="D238" s="4" t="n"/>
      <c r="E238" s="4" t="n"/>
      <c r="F238" s="12" t="n"/>
      <c r="G238" s="4" t="n"/>
      <c r="H238" s="4" t="n"/>
      <c r="I238" s="4" t="n"/>
      <c r="J238" s="5" t="n"/>
      <c r="K238" s="5">
        <f>IF(J238="","",J238+4)</f>
        <v/>
      </c>
      <c r="L238" s="5">
        <f>IF(J238="","",J238+9)</f>
        <v/>
      </c>
      <c r="M238" s="5">
        <f>IF(J238="","",J238+16)</f>
        <v/>
      </c>
      <c r="N238" s="4">
        <f>IF(OR(I238="Contacted",I238="Terms sent"),IF(TODAY()&gt;=M238,"Close (step 3)",IF(TODAY()&gt;=L238,"Follow-up 2",IF(TODAY()&gt;=K238,"Follow-up 1",""))),IF(I238="Shortlisted",IF(G238="","Score it",""),""))</f>
        <v/>
      </c>
      <c r="O238" s="5" t="n"/>
      <c r="P238" s="4" t="n"/>
      <c r="Q238" s="4" t="n"/>
      <c r="R238" s="5" t="n"/>
      <c r="S238" s="4" t="n"/>
      <c r="T238" s="4" t="n"/>
      <c r="U238" s="13" t="n"/>
      <c r="V238" s="13" t="n"/>
      <c r="W238" s="13" t="n"/>
      <c r="X238" s="14" t="n"/>
      <c r="Y238" s="14" t="n"/>
      <c r="Z238" s="8" t="n"/>
    </row>
    <row r="239">
      <c r="A239" s="4" t="n"/>
      <c r="B239" s="8" t="n"/>
      <c r="C239" s="4" t="n"/>
      <c r="D239" s="4" t="n"/>
      <c r="E239" s="4" t="n"/>
      <c r="F239" s="12" t="n"/>
      <c r="G239" s="4" t="n"/>
      <c r="H239" s="4" t="n"/>
      <c r="I239" s="4" t="n"/>
      <c r="J239" s="5" t="n"/>
      <c r="K239" s="5">
        <f>IF(J239="","",J239+4)</f>
        <v/>
      </c>
      <c r="L239" s="5">
        <f>IF(J239="","",J239+9)</f>
        <v/>
      </c>
      <c r="M239" s="5">
        <f>IF(J239="","",J239+16)</f>
        <v/>
      </c>
      <c r="N239" s="4">
        <f>IF(OR(I239="Contacted",I239="Terms sent"),IF(TODAY()&gt;=M239,"Close (step 3)",IF(TODAY()&gt;=L239,"Follow-up 2",IF(TODAY()&gt;=K239,"Follow-up 1",""))),IF(I239="Shortlisted",IF(G239="","Score it",""),""))</f>
        <v/>
      </c>
      <c r="O239" s="5" t="n"/>
      <c r="P239" s="4" t="n"/>
      <c r="Q239" s="4" t="n"/>
      <c r="R239" s="5" t="n"/>
      <c r="S239" s="4" t="n"/>
      <c r="T239" s="4" t="n"/>
      <c r="U239" s="13" t="n"/>
      <c r="V239" s="13" t="n"/>
      <c r="W239" s="13" t="n"/>
      <c r="X239" s="14" t="n"/>
      <c r="Y239" s="14" t="n"/>
      <c r="Z239" s="8" t="n"/>
    </row>
    <row r="240">
      <c r="A240" s="4" t="n"/>
      <c r="B240" s="8" t="n"/>
      <c r="C240" s="4" t="n"/>
      <c r="D240" s="4" t="n"/>
      <c r="E240" s="4" t="n"/>
      <c r="F240" s="12" t="n"/>
      <c r="G240" s="4" t="n"/>
      <c r="H240" s="4" t="n"/>
      <c r="I240" s="4" t="n"/>
      <c r="J240" s="5" t="n"/>
      <c r="K240" s="5">
        <f>IF(J240="","",J240+4)</f>
        <v/>
      </c>
      <c r="L240" s="5">
        <f>IF(J240="","",J240+9)</f>
        <v/>
      </c>
      <c r="M240" s="5">
        <f>IF(J240="","",J240+16)</f>
        <v/>
      </c>
      <c r="N240" s="4">
        <f>IF(OR(I240="Contacted",I240="Terms sent"),IF(TODAY()&gt;=M240,"Close (step 3)",IF(TODAY()&gt;=L240,"Follow-up 2",IF(TODAY()&gt;=K240,"Follow-up 1",""))),IF(I240="Shortlisted",IF(G240="","Score it",""),""))</f>
        <v/>
      </c>
      <c r="O240" s="5" t="n"/>
      <c r="P240" s="4" t="n"/>
      <c r="Q240" s="4" t="n"/>
      <c r="R240" s="5" t="n"/>
      <c r="S240" s="4" t="n"/>
      <c r="T240" s="4" t="n"/>
      <c r="U240" s="13" t="n"/>
      <c r="V240" s="13" t="n"/>
      <c r="W240" s="13" t="n"/>
      <c r="X240" s="14" t="n"/>
      <c r="Y240" s="14" t="n"/>
      <c r="Z240" s="8" t="n"/>
    </row>
    <row r="241">
      <c r="A241" s="4" t="n"/>
      <c r="B241" s="8" t="n"/>
      <c r="C241" s="4" t="n"/>
      <c r="D241" s="4" t="n"/>
      <c r="E241" s="4" t="n"/>
      <c r="F241" s="12" t="n"/>
      <c r="G241" s="4" t="n"/>
      <c r="H241" s="4" t="n"/>
      <c r="I241" s="4" t="n"/>
      <c r="J241" s="5" t="n"/>
      <c r="K241" s="5">
        <f>IF(J241="","",J241+4)</f>
        <v/>
      </c>
      <c r="L241" s="5">
        <f>IF(J241="","",J241+9)</f>
        <v/>
      </c>
      <c r="M241" s="5">
        <f>IF(J241="","",J241+16)</f>
        <v/>
      </c>
      <c r="N241" s="4">
        <f>IF(OR(I241="Contacted",I241="Terms sent"),IF(TODAY()&gt;=M241,"Close (step 3)",IF(TODAY()&gt;=L241,"Follow-up 2",IF(TODAY()&gt;=K241,"Follow-up 1",""))),IF(I241="Shortlisted",IF(G241="","Score it",""),""))</f>
        <v/>
      </c>
      <c r="O241" s="5" t="n"/>
      <c r="P241" s="4" t="n"/>
      <c r="Q241" s="4" t="n"/>
      <c r="R241" s="5" t="n"/>
      <c r="S241" s="4" t="n"/>
      <c r="T241" s="4" t="n"/>
      <c r="U241" s="13" t="n"/>
      <c r="V241" s="13" t="n"/>
      <c r="W241" s="13" t="n"/>
      <c r="X241" s="14" t="n"/>
      <c r="Y241" s="14" t="n"/>
      <c r="Z241" s="8" t="n"/>
    </row>
    <row r="242">
      <c r="A242" s="4" t="n"/>
      <c r="B242" s="8" t="n"/>
      <c r="C242" s="4" t="n"/>
      <c r="D242" s="4" t="n"/>
      <c r="E242" s="4" t="n"/>
      <c r="F242" s="12" t="n"/>
      <c r="G242" s="4" t="n"/>
      <c r="H242" s="4" t="n"/>
      <c r="I242" s="4" t="n"/>
      <c r="J242" s="5" t="n"/>
      <c r="K242" s="5">
        <f>IF(J242="","",J242+4)</f>
        <v/>
      </c>
      <c r="L242" s="5">
        <f>IF(J242="","",J242+9)</f>
        <v/>
      </c>
      <c r="M242" s="5">
        <f>IF(J242="","",J242+16)</f>
        <v/>
      </c>
      <c r="N242" s="4">
        <f>IF(OR(I242="Contacted",I242="Terms sent"),IF(TODAY()&gt;=M242,"Close (step 3)",IF(TODAY()&gt;=L242,"Follow-up 2",IF(TODAY()&gt;=K242,"Follow-up 1",""))),IF(I242="Shortlisted",IF(G242="","Score it",""),""))</f>
        <v/>
      </c>
      <c r="O242" s="5" t="n"/>
      <c r="P242" s="4" t="n"/>
      <c r="Q242" s="4" t="n"/>
      <c r="R242" s="5" t="n"/>
      <c r="S242" s="4" t="n"/>
      <c r="T242" s="4" t="n"/>
      <c r="U242" s="13" t="n"/>
      <c r="V242" s="13" t="n"/>
      <c r="W242" s="13" t="n"/>
      <c r="X242" s="14" t="n"/>
      <c r="Y242" s="14" t="n"/>
      <c r="Z242" s="8" t="n"/>
    </row>
    <row r="243">
      <c r="A243" s="4" t="n"/>
      <c r="B243" s="8" t="n"/>
      <c r="C243" s="4" t="n"/>
      <c r="D243" s="4" t="n"/>
      <c r="E243" s="4" t="n"/>
      <c r="F243" s="12" t="n"/>
      <c r="G243" s="4" t="n"/>
      <c r="H243" s="4" t="n"/>
      <c r="I243" s="4" t="n"/>
      <c r="J243" s="5" t="n"/>
      <c r="K243" s="5">
        <f>IF(J243="","",J243+4)</f>
        <v/>
      </c>
      <c r="L243" s="5">
        <f>IF(J243="","",J243+9)</f>
        <v/>
      </c>
      <c r="M243" s="5">
        <f>IF(J243="","",J243+16)</f>
        <v/>
      </c>
      <c r="N243" s="4">
        <f>IF(OR(I243="Contacted",I243="Terms sent"),IF(TODAY()&gt;=M243,"Close (step 3)",IF(TODAY()&gt;=L243,"Follow-up 2",IF(TODAY()&gt;=K243,"Follow-up 1",""))),IF(I243="Shortlisted",IF(G243="","Score it",""),""))</f>
        <v/>
      </c>
      <c r="O243" s="5" t="n"/>
      <c r="P243" s="4" t="n"/>
      <c r="Q243" s="4" t="n"/>
      <c r="R243" s="5" t="n"/>
      <c r="S243" s="4" t="n"/>
      <c r="T243" s="4" t="n"/>
      <c r="U243" s="13" t="n"/>
      <c r="V243" s="13" t="n"/>
      <c r="W243" s="13" t="n"/>
      <c r="X243" s="14" t="n"/>
      <c r="Y243" s="14" t="n"/>
      <c r="Z243" s="8" t="n"/>
    </row>
    <row r="244">
      <c r="A244" s="4" t="n"/>
      <c r="B244" s="8" t="n"/>
      <c r="C244" s="4" t="n"/>
      <c r="D244" s="4" t="n"/>
      <c r="E244" s="4" t="n"/>
      <c r="F244" s="12" t="n"/>
      <c r="G244" s="4" t="n"/>
      <c r="H244" s="4" t="n"/>
      <c r="I244" s="4" t="n"/>
      <c r="J244" s="5" t="n"/>
      <c r="K244" s="5">
        <f>IF(J244="","",J244+4)</f>
        <v/>
      </c>
      <c r="L244" s="5">
        <f>IF(J244="","",J244+9)</f>
        <v/>
      </c>
      <c r="M244" s="5">
        <f>IF(J244="","",J244+16)</f>
        <v/>
      </c>
      <c r="N244" s="4">
        <f>IF(OR(I244="Contacted",I244="Terms sent"),IF(TODAY()&gt;=M244,"Close (step 3)",IF(TODAY()&gt;=L244,"Follow-up 2",IF(TODAY()&gt;=K244,"Follow-up 1",""))),IF(I244="Shortlisted",IF(G244="","Score it",""),""))</f>
        <v/>
      </c>
      <c r="O244" s="5" t="n"/>
      <c r="P244" s="4" t="n"/>
      <c r="Q244" s="4" t="n"/>
      <c r="R244" s="5" t="n"/>
      <c r="S244" s="4" t="n"/>
      <c r="T244" s="4" t="n"/>
      <c r="U244" s="13" t="n"/>
      <c r="V244" s="13" t="n"/>
      <c r="W244" s="13" t="n"/>
      <c r="X244" s="14" t="n"/>
      <c r="Y244" s="14" t="n"/>
      <c r="Z244" s="8" t="n"/>
    </row>
    <row r="245">
      <c r="A245" s="4" t="n"/>
      <c r="B245" s="8" t="n"/>
      <c r="C245" s="4" t="n"/>
      <c r="D245" s="4" t="n"/>
      <c r="E245" s="4" t="n"/>
      <c r="F245" s="12" t="n"/>
      <c r="G245" s="4" t="n"/>
      <c r="H245" s="4" t="n"/>
      <c r="I245" s="4" t="n"/>
      <c r="J245" s="5" t="n"/>
      <c r="K245" s="5">
        <f>IF(J245="","",J245+4)</f>
        <v/>
      </c>
      <c r="L245" s="5">
        <f>IF(J245="","",J245+9)</f>
        <v/>
      </c>
      <c r="M245" s="5">
        <f>IF(J245="","",J245+16)</f>
        <v/>
      </c>
      <c r="N245" s="4">
        <f>IF(OR(I245="Contacted",I245="Terms sent"),IF(TODAY()&gt;=M245,"Close (step 3)",IF(TODAY()&gt;=L245,"Follow-up 2",IF(TODAY()&gt;=K245,"Follow-up 1",""))),IF(I245="Shortlisted",IF(G245="","Score it",""),""))</f>
        <v/>
      </c>
      <c r="O245" s="5" t="n"/>
      <c r="P245" s="4" t="n"/>
      <c r="Q245" s="4" t="n"/>
      <c r="R245" s="5" t="n"/>
      <c r="S245" s="4" t="n"/>
      <c r="T245" s="4" t="n"/>
      <c r="U245" s="13" t="n"/>
      <c r="V245" s="13" t="n"/>
      <c r="W245" s="13" t="n"/>
      <c r="X245" s="14" t="n"/>
      <c r="Y245" s="14" t="n"/>
      <c r="Z245" s="8" t="n"/>
    </row>
    <row r="246">
      <c r="A246" s="4" t="n"/>
      <c r="B246" s="8" t="n"/>
      <c r="C246" s="4" t="n"/>
      <c r="D246" s="4" t="n"/>
      <c r="E246" s="4" t="n"/>
      <c r="F246" s="12" t="n"/>
      <c r="G246" s="4" t="n"/>
      <c r="H246" s="4" t="n"/>
      <c r="I246" s="4" t="n"/>
      <c r="J246" s="5" t="n"/>
      <c r="K246" s="5">
        <f>IF(J246="","",J246+4)</f>
        <v/>
      </c>
      <c r="L246" s="5">
        <f>IF(J246="","",J246+9)</f>
        <v/>
      </c>
      <c r="M246" s="5">
        <f>IF(J246="","",J246+16)</f>
        <v/>
      </c>
      <c r="N246" s="4">
        <f>IF(OR(I246="Contacted",I246="Terms sent"),IF(TODAY()&gt;=M246,"Close (step 3)",IF(TODAY()&gt;=L246,"Follow-up 2",IF(TODAY()&gt;=K246,"Follow-up 1",""))),IF(I246="Shortlisted",IF(G246="","Score it",""),""))</f>
        <v/>
      </c>
      <c r="O246" s="5" t="n"/>
      <c r="P246" s="4" t="n"/>
      <c r="Q246" s="4" t="n"/>
      <c r="R246" s="5" t="n"/>
      <c r="S246" s="4" t="n"/>
      <c r="T246" s="4" t="n"/>
      <c r="U246" s="13" t="n"/>
      <c r="V246" s="13" t="n"/>
      <c r="W246" s="13" t="n"/>
      <c r="X246" s="14" t="n"/>
      <c r="Y246" s="14" t="n"/>
      <c r="Z246" s="8" t="n"/>
    </row>
    <row r="247">
      <c r="A247" s="4" t="n"/>
      <c r="B247" s="8" t="n"/>
      <c r="C247" s="4" t="n"/>
      <c r="D247" s="4" t="n"/>
      <c r="E247" s="4" t="n"/>
      <c r="F247" s="12" t="n"/>
      <c r="G247" s="4" t="n"/>
      <c r="H247" s="4" t="n"/>
      <c r="I247" s="4" t="n"/>
      <c r="J247" s="5" t="n"/>
      <c r="K247" s="5">
        <f>IF(J247="","",J247+4)</f>
        <v/>
      </c>
      <c r="L247" s="5">
        <f>IF(J247="","",J247+9)</f>
        <v/>
      </c>
      <c r="M247" s="5">
        <f>IF(J247="","",J247+16)</f>
        <v/>
      </c>
      <c r="N247" s="4">
        <f>IF(OR(I247="Contacted",I247="Terms sent"),IF(TODAY()&gt;=M247,"Close (step 3)",IF(TODAY()&gt;=L247,"Follow-up 2",IF(TODAY()&gt;=K247,"Follow-up 1",""))),IF(I247="Shortlisted",IF(G247="","Score it",""),""))</f>
        <v/>
      </c>
      <c r="O247" s="5" t="n"/>
      <c r="P247" s="4" t="n"/>
      <c r="Q247" s="4" t="n"/>
      <c r="R247" s="5" t="n"/>
      <c r="S247" s="4" t="n"/>
      <c r="T247" s="4" t="n"/>
      <c r="U247" s="13" t="n"/>
      <c r="V247" s="13" t="n"/>
      <c r="W247" s="13" t="n"/>
      <c r="X247" s="14" t="n"/>
      <c r="Y247" s="14" t="n"/>
      <c r="Z247" s="8" t="n"/>
    </row>
    <row r="248">
      <c r="A248" s="4" t="n"/>
      <c r="B248" s="8" t="n"/>
      <c r="C248" s="4" t="n"/>
      <c r="D248" s="4" t="n"/>
      <c r="E248" s="4" t="n"/>
      <c r="F248" s="12" t="n"/>
      <c r="G248" s="4" t="n"/>
      <c r="H248" s="4" t="n"/>
      <c r="I248" s="4" t="n"/>
      <c r="J248" s="5" t="n"/>
      <c r="K248" s="5">
        <f>IF(J248="","",J248+4)</f>
        <v/>
      </c>
      <c r="L248" s="5">
        <f>IF(J248="","",J248+9)</f>
        <v/>
      </c>
      <c r="M248" s="5">
        <f>IF(J248="","",J248+16)</f>
        <v/>
      </c>
      <c r="N248" s="4">
        <f>IF(OR(I248="Contacted",I248="Terms sent"),IF(TODAY()&gt;=M248,"Close (step 3)",IF(TODAY()&gt;=L248,"Follow-up 2",IF(TODAY()&gt;=K248,"Follow-up 1",""))),IF(I248="Shortlisted",IF(G248="","Score it",""),""))</f>
        <v/>
      </c>
      <c r="O248" s="5" t="n"/>
      <c r="P248" s="4" t="n"/>
      <c r="Q248" s="4" t="n"/>
      <c r="R248" s="5" t="n"/>
      <c r="S248" s="4" t="n"/>
      <c r="T248" s="4" t="n"/>
      <c r="U248" s="13" t="n"/>
      <c r="V248" s="13" t="n"/>
      <c r="W248" s="13" t="n"/>
      <c r="X248" s="14" t="n"/>
      <c r="Y248" s="14" t="n"/>
      <c r="Z248" s="8" t="n"/>
    </row>
    <row r="249">
      <c r="A249" s="4" t="n"/>
      <c r="B249" s="8" t="n"/>
      <c r="C249" s="4" t="n"/>
      <c r="D249" s="4" t="n"/>
      <c r="E249" s="4" t="n"/>
      <c r="F249" s="12" t="n"/>
      <c r="G249" s="4" t="n"/>
      <c r="H249" s="4" t="n"/>
      <c r="I249" s="4" t="n"/>
      <c r="J249" s="5" t="n"/>
      <c r="K249" s="5">
        <f>IF(J249="","",J249+4)</f>
        <v/>
      </c>
      <c r="L249" s="5">
        <f>IF(J249="","",J249+9)</f>
        <v/>
      </c>
      <c r="M249" s="5">
        <f>IF(J249="","",J249+16)</f>
        <v/>
      </c>
      <c r="N249" s="4">
        <f>IF(OR(I249="Contacted",I249="Terms sent"),IF(TODAY()&gt;=M249,"Close (step 3)",IF(TODAY()&gt;=L249,"Follow-up 2",IF(TODAY()&gt;=K249,"Follow-up 1",""))),IF(I249="Shortlisted",IF(G249="","Score it",""),""))</f>
        <v/>
      </c>
      <c r="O249" s="5" t="n"/>
      <c r="P249" s="4" t="n"/>
      <c r="Q249" s="4" t="n"/>
      <c r="R249" s="5" t="n"/>
      <c r="S249" s="4" t="n"/>
      <c r="T249" s="4" t="n"/>
      <c r="U249" s="13" t="n"/>
      <c r="V249" s="13" t="n"/>
      <c r="W249" s="13" t="n"/>
      <c r="X249" s="14" t="n"/>
      <c r="Y249" s="14" t="n"/>
      <c r="Z249" s="8" t="n"/>
    </row>
    <row r="250">
      <c r="A250" s="4" t="n"/>
      <c r="B250" s="8" t="n"/>
      <c r="C250" s="4" t="n"/>
      <c r="D250" s="4" t="n"/>
      <c r="E250" s="4" t="n"/>
      <c r="F250" s="12" t="n"/>
      <c r="G250" s="4" t="n"/>
      <c r="H250" s="4" t="n"/>
      <c r="I250" s="4" t="n"/>
      <c r="J250" s="5" t="n"/>
      <c r="K250" s="5">
        <f>IF(J250="","",J250+4)</f>
        <v/>
      </c>
      <c r="L250" s="5">
        <f>IF(J250="","",J250+9)</f>
        <v/>
      </c>
      <c r="M250" s="5">
        <f>IF(J250="","",J250+16)</f>
        <v/>
      </c>
      <c r="N250" s="4">
        <f>IF(OR(I250="Contacted",I250="Terms sent"),IF(TODAY()&gt;=M250,"Close (step 3)",IF(TODAY()&gt;=L250,"Follow-up 2",IF(TODAY()&gt;=K250,"Follow-up 1",""))),IF(I250="Shortlisted",IF(G250="","Score it",""),""))</f>
        <v/>
      </c>
      <c r="O250" s="5" t="n"/>
      <c r="P250" s="4" t="n"/>
      <c r="Q250" s="4" t="n"/>
      <c r="R250" s="5" t="n"/>
      <c r="S250" s="4" t="n"/>
      <c r="T250" s="4" t="n"/>
      <c r="U250" s="13" t="n"/>
      <c r="V250" s="13" t="n"/>
      <c r="W250" s="13" t="n"/>
      <c r="X250" s="14" t="n"/>
      <c r="Y250" s="14" t="n"/>
      <c r="Z250" s="8" t="n"/>
    </row>
    <row r="251">
      <c r="A251" s="4" t="n"/>
      <c r="B251" s="8" t="n"/>
      <c r="C251" s="4" t="n"/>
      <c r="D251" s="4" t="n"/>
      <c r="E251" s="4" t="n"/>
      <c r="F251" s="12" t="n"/>
      <c r="G251" s="4" t="n"/>
      <c r="H251" s="4" t="n"/>
      <c r="I251" s="4" t="n"/>
      <c r="J251" s="5" t="n"/>
      <c r="K251" s="5">
        <f>IF(J251="","",J251+4)</f>
        <v/>
      </c>
      <c r="L251" s="5">
        <f>IF(J251="","",J251+9)</f>
        <v/>
      </c>
      <c r="M251" s="5">
        <f>IF(J251="","",J251+16)</f>
        <v/>
      </c>
      <c r="N251" s="4">
        <f>IF(OR(I251="Contacted",I251="Terms sent"),IF(TODAY()&gt;=M251,"Close (step 3)",IF(TODAY()&gt;=L251,"Follow-up 2",IF(TODAY()&gt;=K251,"Follow-up 1",""))),IF(I251="Shortlisted",IF(G251="","Score it",""),""))</f>
        <v/>
      </c>
      <c r="O251" s="5" t="n"/>
      <c r="P251" s="4" t="n"/>
      <c r="Q251" s="4" t="n"/>
      <c r="R251" s="5" t="n"/>
      <c r="S251" s="4" t="n"/>
      <c r="T251" s="4" t="n"/>
      <c r="U251" s="13" t="n"/>
      <c r="V251" s="13" t="n"/>
      <c r="W251" s="13" t="n"/>
      <c r="X251" s="14" t="n"/>
      <c r="Y251" s="14" t="n"/>
      <c r="Z251" s="8" t="n"/>
    </row>
    <row r="252">
      <c r="A252" s="4" t="n"/>
      <c r="B252" s="8" t="n"/>
      <c r="C252" s="4" t="n"/>
      <c r="D252" s="4" t="n"/>
      <c r="E252" s="4" t="n"/>
      <c r="F252" s="12" t="n"/>
      <c r="G252" s="4" t="n"/>
      <c r="H252" s="4" t="n"/>
      <c r="I252" s="4" t="n"/>
      <c r="J252" s="5" t="n"/>
      <c r="K252" s="5">
        <f>IF(J252="","",J252+4)</f>
        <v/>
      </c>
      <c r="L252" s="5">
        <f>IF(J252="","",J252+9)</f>
        <v/>
      </c>
      <c r="M252" s="5">
        <f>IF(J252="","",J252+16)</f>
        <v/>
      </c>
      <c r="N252" s="4">
        <f>IF(OR(I252="Contacted",I252="Terms sent"),IF(TODAY()&gt;=M252,"Close (step 3)",IF(TODAY()&gt;=L252,"Follow-up 2",IF(TODAY()&gt;=K252,"Follow-up 1",""))),IF(I252="Shortlisted",IF(G252="","Score it",""),""))</f>
        <v/>
      </c>
      <c r="O252" s="5" t="n"/>
      <c r="P252" s="4" t="n"/>
      <c r="Q252" s="4" t="n"/>
      <c r="R252" s="5" t="n"/>
      <c r="S252" s="4" t="n"/>
      <c r="T252" s="4" t="n"/>
      <c r="U252" s="13" t="n"/>
      <c r="V252" s="13" t="n"/>
      <c r="W252" s="13" t="n"/>
      <c r="X252" s="14" t="n"/>
      <c r="Y252" s="14" t="n"/>
      <c r="Z252" s="8" t="n"/>
    </row>
    <row r="253">
      <c r="A253" s="4" t="n"/>
      <c r="B253" s="8" t="n"/>
      <c r="C253" s="4" t="n"/>
      <c r="D253" s="4" t="n"/>
      <c r="E253" s="4" t="n"/>
      <c r="F253" s="12" t="n"/>
      <c r="G253" s="4" t="n"/>
      <c r="H253" s="4" t="n"/>
      <c r="I253" s="4" t="n"/>
      <c r="J253" s="5" t="n"/>
      <c r="K253" s="5">
        <f>IF(J253="","",J253+4)</f>
        <v/>
      </c>
      <c r="L253" s="5">
        <f>IF(J253="","",J253+9)</f>
        <v/>
      </c>
      <c r="M253" s="5">
        <f>IF(J253="","",J253+16)</f>
        <v/>
      </c>
      <c r="N253" s="4">
        <f>IF(OR(I253="Contacted",I253="Terms sent"),IF(TODAY()&gt;=M253,"Close (step 3)",IF(TODAY()&gt;=L253,"Follow-up 2",IF(TODAY()&gt;=K253,"Follow-up 1",""))),IF(I253="Shortlisted",IF(G253="","Score it",""),""))</f>
        <v/>
      </c>
      <c r="O253" s="5" t="n"/>
      <c r="P253" s="4" t="n"/>
      <c r="Q253" s="4" t="n"/>
      <c r="R253" s="5" t="n"/>
      <c r="S253" s="4" t="n"/>
      <c r="T253" s="4" t="n"/>
      <c r="U253" s="13" t="n"/>
      <c r="V253" s="13" t="n"/>
      <c r="W253" s="13" t="n"/>
      <c r="X253" s="14" t="n"/>
      <c r="Y253" s="14" t="n"/>
      <c r="Z253" s="8" t="n"/>
    </row>
    <row r="254">
      <c r="A254" s="4" t="n"/>
      <c r="B254" s="8" t="n"/>
      <c r="C254" s="4" t="n"/>
      <c r="D254" s="4" t="n"/>
      <c r="E254" s="4" t="n"/>
      <c r="F254" s="12" t="n"/>
      <c r="G254" s="4" t="n"/>
      <c r="H254" s="4" t="n"/>
      <c r="I254" s="4" t="n"/>
      <c r="J254" s="5" t="n"/>
      <c r="K254" s="5">
        <f>IF(J254="","",J254+4)</f>
        <v/>
      </c>
      <c r="L254" s="5">
        <f>IF(J254="","",J254+9)</f>
        <v/>
      </c>
      <c r="M254" s="5">
        <f>IF(J254="","",J254+16)</f>
        <v/>
      </c>
      <c r="N254" s="4">
        <f>IF(OR(I254="Contacted",I254="Terms sent"),IF(TODAY()&gt;=M254,"Close (step 3)",IF(TODAY()&gt;=L254,"Follow-up 2",IF(TODAY()&gt;=K254,"Follow-up 1",""))),IF(I254="Shortlisted",IF(G254="","Score it",""),""))</f>
        <v/>
      </c>
      <c r="O254" s="5" t="n"/>
      <c r="P254" s="4" t="n"/>
      <c r="Q254" s="4" t="n"/>
      <c r="R254" s="5" t="n"/>
      <c r="S254" s="4" t="n"/>
      <c r="T254" s="4" t="n"/>
      <c r="U254" s="13" t="n"/>
      <c r="V254" s="13" t="n"/>
      <c r="W254" s="13" t="n"/>
      <c r="X254" s="14" t="n"/>
      <c r="Y254" s="14" t="n"/>
      <c r="Z254" s="8" t="n"/>
    </row>
    <row r="255">
      <c r="A255" s="4" t="n"/>
      <c r="B255" s="8" t="n"/>
      <c r="C255" s="4" t="n"/>
      <c r="D255" s="4" t="n"/>
      <c r="E255" s="4" t="n"/>
      <c r="F255" s="12" t="n"/>
      <c r="G255" s="4" t="n"/>
      <c r="H255" s="4" t="n"/>
      <c r="I255" s="4" t="n"/>
      <c r="J255" s="5" t="n"/>
      <c r="K255" s="5">
        <f>IF(J255="","",J255+4)</f>
        <v/>
      </c>
      <c r="L255" s="5">
        <f>IF(J255="","",J255+9)</f>
        <v/>
      </c>
      <c r="M255" s="5">
        <f>IF(J255="","",J255+16)</f>
        <v/>
      </c>
      <c r="N255" s="4">
        <f>IF(OR(I255="Contacted",I255="Terms sent"),IF(TODAY()&gt;=M255,"Close (step 3)",IF(TODAY()&gt;=L255,"Follow-up 2",IF(TODAY()&gt;=K255,"Follow-up 1",""))),IF(I255="Shortlisted",IF(G255="","Score it",""),""))</f>
        <v/>
      </c>
      <c r="O255" s="5" t="n"/>
      <c r="P255" s="4" t="n"/>
      <c r="Q255" s="4" t="n"/>
      <c r="R255" s="5" t="n"/>
      <c r="S255" s="4" t="n"/>
      <c r="T255" s="4" t="n"/>
      <c r="U255" s="13" t="n"/>
      <c r="V255" s="13" t="n"/>
      <c r="W255" s="13" t="n"/>
      <c r="X255" s="14" t="n"/>
      <c r="Y255" s="14" t="n"/>
      <c r="Z255" s="8" t="n"/>
    </row>
    <row r="256">
      <c r="A256" s="4" t="n"/>
      <c r="B256" s="8" t="n"/>
      <c r="C256" s="4" t="n"/>
      <c r="D256" s="4" t="n"/>
      <c r="E256" s="4" t="n"/>
      <c r="F256" s="12" t="n"/>
      <c r="G256" s="4" t="n"/>
      <c r="H256" s="4" t="n"/>
      <c r="I256" s="4" t="n"/>
      <c r="J256" s="5" t="n"/>
      <c r="K256" s="5">
        <f>IF(J256="","",J256+4)</f>
        <v/>
      </c>
      <c r="L256" s="5">
        <f>IF(J256="","",J256+9)</f>
        <v/>
      </c>
      <c r="M256" s="5">
        <f>IF(J256="","",J256+16)</f>
        <v/>
      </c>
      <c r="N256" s="4">
        <f>IF(OR(I256="Contacted",I256="Terms sent"),IF(TODAY()&gt;=M256,"Close (step 3)",IF(TODAY()&gt;=L256,"Follow-up 2",IF(TODAY()&gt;=K256,"Follow-up 1",""))),IF(I256="Shortlisted",IF(G256="","Score it",""),""))</f>
        <v/>
      </c>
      <c r="O256" s="5" t="n"/>
      <c r="P256" s="4" t="n"/>
      <c r="Q256" s="4" t="n"/>
      <c r="R256" s="5" t="n"/>
      <c r="S256" s="4" t="n"/>
      <c r="T256" s="4" t="n"/>
      <c r="U256" s="13" t="n"/>
      <c r="V256" s="13" t="n"/>
      <c r="W256" s="13" t="n"/>
      <c r="X256" s="14" t="n"/>
      <c r="Y256" s="14" t="n"/>
      <c r="Z256" s="8" t="n"/>
    </row>
    <row r="257">
      <c r="A257" s="4" t="n"/>
      <c r="B257" s="8" t="n"/>
      <c r="C257" s="4" t="n"/>
      <c r="D257" s="4" t="n"/>
      <c r="E257" s="4" t="n"/>
      <c r="F257" s="12" t="n"/>
      <c r="G257" s="4" t="n"/>
      <c r="H257" s="4" t="n"/>
      <c r="I257" s="4" t="n"/>
      <c r="J257" s="5" t="n"/>
      <c r="K257" s="5">
        <f>IF(J257="","",J257+4)</f>
        <v/>
      </c>
      <c r="L257" s="5">
        <f>IF(J257="","",J257+9)</f>
        <v/>
      </c>
      <c r="M257" s="5">
        <f>IF(J257="","",J257+16)</f>
        <v/>
      </c>
      <c r="N257" s="4">
        <f>IF(OR(I257="Contacted",I257="Terms sent"),IF(TODAY()&gt;=M257,"Close (step 3)",IF(TODAY()&gt;=L257,"Follow-up 2",IF(TODAY()&gt;=K257,"Follow-up 1",""))),IF(I257="Shortlisted",IF(G257="","Score it",""),""))</f>
        <v/>
      </c>
      <c r="O257" s="5" t="n"/>
      <c r="P257" s="4" t="n"/>
      <c r="Q257" s="4" t="n"/>
      <c r="R257" s="5" t="n"/>
      <c r="S257" s="4" t="n"/>
      <c r="T257" s="4" t="n"/>
      <c r="U257" s="13" t="n"/>
      <c r="V257" s="13" t="n"/>
      <c r="W257" s="13" t="n"/>
      <c r="X257" s="14" t="n"/>
      <c r="Y257" s="14" t="n"/>
      <c r="Z257" s="8" t="n"/>
    </row>
    <row r="258">
      <c r="A258" s="4" t="n"/>
      <c r="B258" s="8" t="n"/>
      <c r="C258" s="4" t="n"/>
      <c r="D258" s="4" t="n"/>
      <c r="E258" s="4" t="n"/>
      <c r="F258" s="12" t="n"/>
      <c r="G258" s="4" t="n"/>
      <c r="H258" s="4" t="n"/>
      <c r="I258" s="4" t="n"/>
      <c r="J258" s="5" t="n"/>
      <c r="K258" s="5">
        <f>IF(J258="","",J258+4)</f>
        <v/>
      </c>
      <c r="L258" s="5">
        <f>IF(J258="","",J258+9)</f>
        <v/>
      </c>
      <c r="M258" s="5">
        <f>IF(J258="","",J258+16)</f>
        <v/>
      </c>
      <c r="N258" s="4">
        <f>IF(OR(I258="Contacted",I258="Terms sent"),IF(TODAY()&gt;=M258,"Close (step 3)",IF(TODAY()&gt;=L258,"Follow-up 2",IF(TODAY()&gt;=K258,"Follow-up 1",""))),IF(I258="Shortlisted",IF(G258="","Score it",""),""))</f>
        <v/>
      </c>
      <c r="O258" s="5" t="n"/>
      <c r="P258" s="4" t="n"/>
      <c r="Q258" s="4" t="n"/>
      <c r="R258" s="5" t="n"/>
      <c r="S258" s="4" t="n"/>
      <c r="T258" s="4" t="n"/>
      <c r="U258" s="13" t="n"/>
      <c r="V258" s="13" t="n"/>
      <c r="W258" s="13" t="n"/>
      <c r="X258" s="14" t="n"/>
      <c r="Y258" s="14" t="n"/>
      <c r="Z258" s="8" t="n"/>
    </row>
    <row r="259">
      <c r="A259" s="4" t="n"/>
      <c r="B259" s="8" t="n"/>
      <c r="C259" s="4" t="n"/>
      <c r="D259" s="4" t="n"/>
      <c r="E259" s="4" t="n"/>
      <c r="F259" s="12" t="n"/>
      <c r="G259" s="4" t="n"/>
      <c r="H259" s="4" t="n"/>
      <c r="I259" s="4" t="n"/>
      <c r="J259" s="5" t="n"/>
      <c r="K259" s="5">
        <f>IF(J259="","",J259+4)</f>
        <v/>
      </c>
      <c r="L259" s="5">
        <f>IF(J259="","",J259+9)</f>
        <v/>
      </c>
      <c r="M259" s="5">
        <f>IF(J259="","",J259+16)</f>
        <v/>
      </c>
      <c r="N259" s="4">
        <f>IF(OR(I259="Contacted",I259="Terms sent"),IF(TODAY()&gt;=M259,"Close (step 3)",IF(TODAY()&gt;=L259,"Follow-up 2",IF(TODAY()&gt;=K259,"Follow-up 1",""))),IF(I259="Shortlisted",IF(G259="","Score it",""),""))</f>
        <v/>
      </c>
      <c r="O259" s="5" t="n"/>
      <c r="P259" s="4" t="n"/>
      <c r="Q259" s="4" t="n"/>
      <c r="R259" s="5" t="n"/>
      <c r="S259" s="4" t="n"/>
      <c r="T259" s="4" t="n"/>
      <c r="U259" s="13" t="n"/>
      <c r="V259" s="13" t="n"/>
      <c r="W259" s="13" t="n"/>
      <c r="X259" s="14" t="n"/>
      <c r="Y259" s="14" t="n"/>
      <c r="Z259" s="8" t="n"/>
    </row>
    <row r="260">
      <c r="A260" s="4" t="n"/>
      <c r="B260" s="8" t="n"/>
      <c r="C260" s="4" t="n"/>
      <c r="D260" s="4" t="n"/>
      <c r="E260" s="4" t="n"/>
      <c r="F260" s="12" t="n"/>
      <c r="G260" s="4" t="n"/>
      <c r="H260" s="4" t="n"/>
      <c r="I260" s="4" t="n"/>
      <c r="J260" s="5" t="n"/>
      <c r="K260" s="5">
        <f>IF(J260="","",J260+4)</f>
        <v/>
      </c>
      <c r="L260" s="5">
        <f>IF(J260="","",J260+9)</f>
        <v/>
      </c>
      <c r="M260" s="5">
        <f>IF(J260="","",J260+16)</f>
        <v/>
      </c>
      <c r="N260" s="4">
        <f>IF(OR(I260="Contacted",I260="Terms sent"),IF(TODAY()&gt;=M260,"Close (step 3)",IF(TODAY()&gt;=L260,"Follow-up 2",IF(TODAY()&gt;=K260,"Follow-up 1",""))),IF(I260="Shortlisted",IF(G260="","Score it",""),""))</f>
        <v/>
      </c>
      <c r="O260" s="5" t="n"/>
      <c r="P260" s="4" t="n"/>
      <c r="Q260" s="4" t="n"/>
      <c r="R260" s="5" t="n"/>
      <c r="S260" s="4" t="n"/>
      <c r="T260" s="4" t="n"/>
      <c r="U260" s="13" t="n"/>
      <c r="V260" s="13" t="n"/>
      <c r="W260" s="13" t="n"/>
      <c r="X260" s="14" t="n"/>
      <c r="Y260" s="14" t="n"/>
      <c r="Z260" s="8" t="n"/>
    </row>
    <row r="261">
      <c r="A261" s="4" t="n"/>
      <c r="B261" s="8" t="n"/>
      <c r="C261" s="4" t="n"/>
      <c r="D261" s="4" t="n"/>
      <c r="E261" s="4" t="n"/>
      <c r="F261" s="12" t="n"/>
      <c r="G261" s="4" t="n"/>
      <c r="H261" s="4" t="n"/>
      <c r="I261" s="4" t="n"/>
      <c r="J261" s="5" t="n"/>
      <c r="K261" s="5">
        <f>IF(J261="","",J261+4)</f>
        <v/>
      </c>
      <c r="L261" s="5">
        <f>IF(J261="","",J261+9)</f>
        <v/>
      </c>
      <c r="M261" s="5">
        <f>IF(J261="","",J261+16)</f>
        <v/>
      </c>
      <c r="N261" s="4">
        <f>IF(OR(I261="Contacted",I261="Terms sent"),IF(TODAY()&gt;=M261,"Close (step 3)",IF(TODAY()&gt;=L261,"Follow-up 2",IF(TODAY()&gt;=K261,"Follow-up 1",""))),IF(I261="Shortlisted",IF(G261="","Score it",""),""))</f>
        <v/>
      </c>
      <c r="O261" s="5" t="n"/>
      <c r="P261" s="4" t="n"/>
      <c r="Q261" s="4" t="n"/>
      <c r="R261" s="5" t="n"/>
      <c r="S261" s="4" t="n"/>
      <c r="T261" s="4" t="n"/>
      <c r="U261" s="13" t="n"/>
      <c r="V261" s="13" t="n"/>
      <c r="W261" s="13" t="n"/>
      <c r="X261" s="14" t="n"/>
      <c r="Y261" s="14" t="n"/>
      <c r="Z261" s="8" t="n"/>
    </row>
    <row r="262">
      <c r="A262" s="4" t="n"/>
      <c r="B262" s="8" t="n"/>
      <c r="C262" s="4" t="n"/>
      <c r="D262" s="4" t="n"/>
      <c r="E262" s="4" t="n"/>
      <c r="F262" s="12" t="n"/>
      <c r="G262" s="4" t="n"/>
      <c r="H262" s="4" t="n"/>
      <c r="I262" s="4" t="n"/>
      <c r="J262" s="5" t="n"/>
      <c r="K262" s="5">
        <f>IF(J262="","",J262+4)</f>
        <v/>
      </c>
      <c r="L262" s="5">
        <f>IF(J262="","",J262+9)</f>
        <v/>
      </c>
      <c r="M262" s="5">
        <f>IF(J262="","",J262+16)</f>
        <v/>
      </c>
      <c r="N262" s="4">
        <f>IF(OR(I262="Contacted",I262="Terms sent"),IF(TODAY()&gt;=M262,"Close (step 3)",IF(TODAY()&gt;=L262,"Follow-up 2",IF(TODAY()&gt;=K262,"Follow-up 1",""))),IF(I262="Shortlisted",IF(G262="","Score it",""),""))</f>
        <v/>
      </c>
      <c r="O262" s="5" t="n"/>
      <c r="P262" s="4" t="n"/>
      <c r="Q262" s="4" t="n"/>
      <c r="R262" s="5" t="n"/>
      <c r="S262" s="4" t="n"/>
      <c r="T262" s="4" t="n"/>
      <c r="U262" s="13" t="n"/>
      <c r="V262" s="13" t="n"/>
      <c r="W262" s="13" t="n"/>
      <c r="X262" s="14" t="n"/>
      <c r="Y262" s="14" t="n"/>
      <c r="Z262" s="8" t="n"/>
    </row>
    <row r="263">
      <c r="A263" s="4" t="n"/>
      <c r="B263" s="8" t="n"/>
      <c r="C263" s="4" t="n"/>
      <c r="D263" s="4" t="n"/>
      <c r="E263" s="4" t="n"/>
      <c r="F263" s="12" t="n"/>
      <c r="G263" s="4" t="n"/>
      <c r="H263" s="4" t="n"/>
      <c r="I263" s="4" t="n"/>
      <c r="J263" s="5" t="n"/>
      <c r="K263" s="5">
        <f>IF(J263="","",J263+4)</f>
        <v/>
      </c>
      <c r="L263" s="5">
        <f>IF(J263="","",J263+9)</f>
        <v/>
      </c>
      <c r="M263" s="5">
        <f>IF(J263="","",J263+16)</f>
        <v/>
      </c>
      <c r="N263" s="4">
        <f>IF(OR(I263="Contacted",I263="Terms sent"),IF(TODAY()&gt;=M263,"Close (step 3)",IF(TODAY()&gt;=L263,"Follow-up 2",IF(TODAY()&gt;=K263,"Follow-up 1",""))),IF(I263="Shortlisted",IF(G263="","Score it",""),""))</f>
        <v/>
      </c>
      <c r="O263" s="5" t="n"/>
      <c r="P263" s="4" t="n"/>
      <c r="Q263" s="4" t="n"/>
      <c r="R263" s="5" t="n"/>
      <c r="S263" s="4" t="n"/>
      <c r="T263" s="4" t="n"/>
      <c r="U263" s="13" t="n"/>
      <c r="V263" s="13" t="n"/>
      <c r="W263" s="13" t="n"/>
      <c r="X263" s="14" t="n"/>
      <c r="Y263" s="14" t="n"/>
      <c r="Z263" s="8" t="n"/>
    </row>
    <row r="264">
      <c r="A264" s="4" t="n"/>
      <c r="B264" s="8" t="n"/>
      <c r="C264" s="4" t="n"/>
      <c r="D264" s="4" t="n"/>
      <c r="E264" s="4" t="n"/>
      <c r="F264" s="12" t="n"/>
      <c r="G264" s="4" t="n"/>
      <c r="H264" s="4" t="n"/>
      <c r="I264" s="4" t="n"/>
      <c r="J264" s="5" t="n"/>
      <c r="K264" s="5">
        <f>IF(J264="","",J264+4)</f>
        <v/>
      </c>
      <c r="L264" s="5">
        <f>IF(J264="","",J264+9)</f>
        <v/>
      </c>
      <c r="M264" s="5">
        <f>IF(J264="","",J264+16)</f>
        <v/>
      </c>
      <c r="N264" s="4">
        <f>IF(OR(I264="Contacted",I264="Terms sent"),IF(TODAY()&gt;=M264,"Close (step 3)",IF(TODAY()&gt;=L264,"Follow-up 2",IF(TODAY()&gt;=K264,"Follow-up 1",""))),IF(I264="Shortlisted",IF(G264="","Score it",""),""))</f>
        <v/>
      </c>
      <c r="O264" s="5" t="n"/>
      <c r="P264" s="4" t="n"/>
      <c r="Q264" s="4" t="n"/>
      <c r="R264" s="5" t="n"/>
      <c r="S264" s="4" t="n"/>
      <c r="T264" s="4" t="n"/>
      <c r="U264" s="13" t="n"/>
      <c r="V264" s="13" t="n"/>
      <c r="W264" s="13" t="n"/>
      <c r="X264" s="14" t="n"/>
      <c r="Y264" s="14" t="n"/>
      <c r="Z264" s="8" t="n"/>
    </row>
    <row r="265">
      <c r="A265" s="4" t="n"/>
      <c r="B265" s="8" t="n"/>
      <c r="C265" s="4" t="n"/>
      <c r="D265" s="4" t="n"/>
      <c r="E265" s="4" t="n"/>
      <c r="F265" s="12" t="n"/>
      <c r="G265" s="4" t="n"/>
      <c r="H265" s="4" t="n"/>
      <c r="I265" s="4" t="n"/>
      <c r="J265" s="5" t="n"/>
      <c r="K265" s="5">
        <f>IF(J265="","",J265+4)</f>
        <v/>
      </c>
      <c r="L265" s="5">
        <f>IF(J265="","",J265+9)</f>
        <v/>
      </c>
      <c r="M265" s="5">
        <f>IF(J265="","",J265+16)</f>
        <v/>
      </c>
      <c r="N265" s="4">
        <f>IF(OR(I265="Contacted",I265="Terms sent"),IF(TODAY()&gt;=M265,"Close (step 3)",IF(TODAY()&gt;=L265,"Follow-up 2",IF(TODAY()&gt;=K265,"Follow-up 1",""))),IF(I265="Shortlisted",IF(G265="","Score it",""),""))</f>
        <v/>
      </c>
      <c r="O265" s="5" t="n"/>
      <c r="P265" s="4" t="n"/>
      <c r="Q265" s="4" t="n"/>
      <c r="R265" s="5" t="n"/>
      <c r="S265" s="4" t="n"/>
      <c r="T265" s="4" t="n"/>
      <c r="U265" s="13" t="n"/>
      <c r="V265" s="13" t="n"/>
      <c r="W265" s="13" t="n"/>
      <c r="X265" s="14" t="n"/>
      <c r="Y265" s="14" t="n"/>
      <c r="Z265" s="8" t="n"/>
    </row>
    <row r="266">
      <c r="A266" s="4" t="n"/>
      <c r="B266" s="8" t="n"/>
      <c r="C266" s="4" t="n"/>
      <c r="D266" s="4" t="n"/>
      <c r="E266" s="4" t="n"/>
      <c r="F266" s="12" t="n"/>
      <c r="G266" s="4" t="n"/>
      <c r="H266" s="4" t="n"/>
      <c r="I266" s="4" t="n"/>
      <c r="J266" s="5" t="n"/>
      <c r="K266" s="5">
        <f>IF(J266="","",J266+4)</f>
        <v/>
      </c>
      <c r="L266" s="5">
        <f>IF(J266="","",J266+9)</f>
        <v/>
      </c>
      <c r="M266" s="5">
        <f>IF(J266="","",J266+16)</f>
        <v/>
      </c>
      <c r="N266" s="4">
        <f>IF(OR(I266="Contacted",I266="Terms sent"),IF(TODAY()&gt;=M266,"Close (step 3)",IF(TODAY()&gt;=L266,"Follow-up 2",IF(TODAY()&gt;=K266,"Follow-up 1",""))),IF(I266="Shortlisted",IF(G266="","Score it",""),""))</f>
        <v/>
      </c>
      <c r="O266" s="5" t="n"/>
      <c r="P266" s="4" t="n"/>
      <c r="Q266" s="4" t="n"/>
      <c r="R266" s="5" t="n"/>
      <c r="S266" s="4" t="n"/>
      <c r="T266" s="4" t="n"/>
      <c r="U266" s="13" t="n"/>
      <c r="V266" s="13" t="n"/>
      <c r="W266" s="13" t="n"/>
      <c r="X266" s="14" t="n"/>
      <c r="Y266" s="14" t="n"/>
      <c r="Z266" s="8" t="n"/>
    </row>
    <row r="267">
      <c r="A267" s="4" t="n"/>
      <c r="B267" s="8" t="n"/>
      <c r="C267" s="4" t="n"/>
      <c r="D267" s="4" t="n"/>
      <c r="E267" s="4" t="n"/>
      <c r="F267" s="12" t="n"/>
      <c r="G267" s="4" t="n"/>
      <c r="H267" s="4" t="n"/>
      <c r="I267" s="4" t="n"/>
      <c r="J267" s="5" t="n"/>
      <c r="K267" s="5">
        <f>IF(J267="","",J267+4)</f>
        <v/>
      </c>
      <c r="L267" s="5">
        <f>IF(J267="","",J267+9)</f>
        <v/>
      </c>
      <c r="M267" s="5">
        <f>IF(J267="","",J267+16)</f>
        <v/>
      </c>
      <c r="N267" s="4">
        <f>IF(OR(I267="Contacted",I267="Terms sent"),IF(TODAY()&gt;=M267,"Close (step 3)",IF(TODAY()&gt;=L267,"Follow-up 2",IF(TODAY()&gt;=K267,"Follow-up 1",""))),IF(I267="Shortlisted",IF(G267="","Score it",""),""))</f>
        <v/>
      </c>
      <c r="O267" s="5" t="n"/>
      <c r="P267" s="4" t="n"/>
      <c r="Q267" s="4" t="n"/>
      <c r="R267" s="5" t="n"/>
      <c r="S267" s="4" t="n"/>
      <c r="T267" s="4" t="n"/>
      <c r="U267" s="13" t="n"/>
      <c r="V267" s="13" t="n"/>
      <c r="W267" s="13" t="n"/>
      <c r="X267" s="14" t="n"/>
      <c r="Y267" s="14" t="n"/>
      <c r="Z267" s="8" t="n"/>
    </row>
    <row r="268">
      <c r="A268" s="4" t="n"/>
      <c r="B268" s="8" t="n"/>
      <c r="C268" s="4" t="n"/>
      <c r="D268" s="4" t="n"/>
      <c r="E268" s="4" t="n"/>
      <c r="F268" s="12" t="n"/>
      <c r="G268" s="4" t="n"/>
      <c r="H268" s="4" t="n"/>
      <c r="I268" s="4" t="n"/>
      <c r="J268" s="5" t="n"/>
      <c r="K268" s="5">
        <f>IF(J268="","",J268+4)</f>
        <v/>
      </c>
      <c r="L268" s="5">
        <f>IF(J268="","",J268+9)</f>
        <v/>
      </c>
      <c r="M268" s="5">
        <f>IF(J268="","",J268+16)</f>
        <v/>
      </c>
      <c r="N268" s="4">
        <f>IF(OR(I268="Contacted",I268="Terms sent"),IF(TODAY()&gt;=M268,"Close (step 3)",IF(TODAY()&gt;=L268,"Follow-up 2",IF(TODAY()&gt;=K268,"Follow-up 1",""))),IF(I268="Shortlisted",IF(G268="","Score it",""),""))</f>
        <v/>
      </c>
      <c r="O268" s="5" t="n"/>
      <c r="P268" s="4" t="n"/>
      <c r="Q268" s="4" t="n"/>
      <c r="R268" s="5" t="n"/>
      <c r="S268" s="4" t="n"/>
      <c r="T268" s="4" t="n"/>
      <c r="U268" s="13" t="n"/>
      <c r="V268" s="13" t="n"/>
      <c r="W268" s="13" t="n"/>
      <c r="X268" s="14" t="n"/>
      <c r="Y268" s="14" t="n"/>
      <c r="Z268" s="8" t="n"/>
    </row>
    <row r="269">
      <c r="A269" s="4" t="n"/>
      <c r="B269" s="8" t="n"/>
      <c r="C269" s="4" t="n"/>
      <c r="D269" s="4" t="n"/>
      <c r="E269" s="4" t="n"/>
      <c r="F269" s="12" t="n"/>
      <c r="G269" s="4" t="n"/>
      <c r="H269" s="4" t="n"/>
      <c r="I269" s="4" t="n"/>
      <c r="J269" s="5" t="n"/>
      <c r="K269" s="5">
        <f>IF(J269="","",J269+4)</f>
        <v/>
      </c>
      <c r="L269" s="5">
        <f>IF(J269="","",J269+9)</f>
        <v/>
      </c>
      <c r="M269" s="5">
        <f>IF(J269="","",J269+16)</f>
        <v/>
      </c>
      <c r="N269" s="4">
        <f>IF(OR(I269="Contacted",I269="Terms sent"),IF(TODAY()&gt;=M269,"Close (step 3)",IF(TODAY()&gt;=L269,"Follow-up 2",IF(TODAY()&gt;=K269,"Follow-up 1",""))),IF(I269="Shortlisted",IF(G269="","Score it",""),""))</f>
        <v/>
      </c>
      <c r="O269" s="5" t="n"/>
      <c r="P269" s="4" t="n"/>
      <c r="Q269" s="4" t="n"/>
      <c r="R269" s="5" t="n"/>
      <c r="S269" s="4" t="n"/>
      <c r="T269" s="4" t="n"/>
      <c r="U269" s="13" t="n"/>
      <c r="V269" s="13" t="n"/>
      <c r="W269" s="13" t="n"/>
      <c r="X269" s="14" t="n"/>
      <c r="Y269" s="14" t="n"/>
      <c r="Z269" s="8" t="n"/>
    </row>
    <row r="270">
      <c r="A270" s="4" t="n"/>
      <c r="B270" s="8" t="n"/>
      <c r="C270" s="4" t="n"/>
      <c r="D270" s="4" t="n"/>
      <c r="E270" s="4" t="n"/>
      <c r="F270" s="12" t="n"/>
      <c r="G270" s="4" t="n"/>
      <c r="H270" s="4" t="n"/>
      <c r="I270" s="4" t="n"/>
      <c r="J270" s="5" t="n"/>
      <c r="K270" s="5">
        <f>IF(J270="","",J270+4)</f>
        <v/>
      </c>
      <c r="L270" s="5">
        <f>IF(J270="","",J270+9)</f>
        <v/>
      </c>
      <c r="M270" s="5">
        <f>IF(J270="","",J270+16)</f>
        <v/>
      </c>
      <c r="N270" s="4">
        <f>IF(OR(I270="Contacted",I270="Terms sent"),IF(TODAY()&gt;=M270,"Close (step 3)",IF(TODAY()&gt;=L270,"Follow-up 2",IF(TODAY()&gt;=K270,"Follow-up 1",""))),IF(I270="Shortlisted",IF(G270="","Score it",""),""))</f>
        <v/>
      </c>
      <c r="O270" s="5" t="n"/>
      <c r="P270" s="4" t="n"/>
      <c r="Q270" s="4" t="n"/>
      <c r="R270" s="5" t="n"/>
      <c r="S270" s="4" t="n"/>
      <c r="T270" s="4" t="n"/>
      <c r="U270" s="13" t="n"/>
      <c r="V270" s="13" t="n"/>
      <c r="W270" s="13" t="n"/>
      <c r="X270" s="14" t="n"/>
      <c r="Y270" s="14" t="n"/>
      <c r="Z270" s="8" t="n"/>
    </row>
    <row r="271">
      <c r="A271" s="4" t="n"/>
      <c r="B271" s="8" t="n"/>
      <c r="C271" s="4" t="n"/>
      <c r="D271" s="4" t="n"/>
      <c r="E271" s="4" t="n"/>
      <c r="F271" s="12" t="n"/>
      <c r="G271" s="4" t="n"/>
      <c r="H271" s="4" t="n"/>
      <c r="I271" s="4" t="n"/>
      <c r="J271" s="5" t="n"/>
      <c r="K271" s="5">
        <f>IF(J271="","",J271+4)</f>
        <v/>
      </c>
      <c r="L271" s="5">
        <f>IF(J271="","",J271+9)</f>
        <v/>
      </c>
      <c r="M271" s="5">
        <f>IF(J271="","",J271+16)</f>
        <v/>
      </c>
      <c r="N271" s="4">
        <f>IF(OR(I271="Contacted",I271="Terms sent"),IF(TODAY()&gt;=M271,"Close (step 3)",IF(TODAY()&gt;=L271,"Follow-up 2",IF(TODAY()&gt;=K271,"Follow-up 1",""))),IF(I271="Shortlisted",IF(G271="","Score it",""),""))</f>
        <v/>
      </c>
      <c r="O271" s="5" t="n"/>
      <c r="P271" s="4" t="n"/>
      <c r="Q271" s="4" t="n"/>
      <c r="R271" s="5" t="n"/>
      <c r="S271" s="4" t="n"/>
      <c r="T271" s="4" t="n"/>
      <c r="U271" s="13" t="n"/>
      <c r="V271" s="13" t="n"/>
      <c r="W271" s="13" t="n"/>
      <c r="X271" s="14" t="n"/>
      <c r="Y271" s="14" t="n"/>
      <c r="Z271" s="8" t="n"/>
    </row>
    <row r="272">
      <c r="A272" s="4" t="n"/>
      <c r="B272" s="8" t="n"/>
      <c r="C272" s="4" t="n"/>
      <c r="D272" s="4" t="n"/>
      <c r="E272" s="4" t="n"/>
      <c r="F272" s="12" t="n"/>
      <c r="G272" s="4" t="n"/>
      <c r="H272" s="4" t="n"/>
      <c r="I272" s="4" t="n"/>
      <c r="J272" s="5" t="n"/>
      <c r="K272" s="5">
        <f>IF(J272="","",J272+4)</f>
        <v/>
      </c>
      <c r="L272" s="5">
        <f>IF(J272="","",J272+9)</f>
        <v/>
      </c>
      <c r="M272" s="5">
        <f>IF(J272="","",J272+16)</f>
        <v/>
      </c>
      <c r="N272" s="4">
        <f>IF(OR(I272="Contacted",I272="Terms sent"),IF(TODAY()&gt;=M272,"Close (step 3)",IF(TODAY()&gt;=L272,"Follow-up 2",IF(TODAY()&gt;=K272,"Follow-up 1",""))),IF(I272="Shortlisted",IF(G272="","Score it",""),""))</f>
        <v/>
      </c>
      <c r="O272" s="5" t="n"/>
      <c r="P272" s="4" t="n"/>
      <c r="Q272" s="4" t="n"/>
      <c r="R272" s="5" t="n"/>
      <c r="S272" s="4" t="n"/>
      <c r="T272" s="4" t="n"/>
      <c r="U272" s="13" t="n"/>
      <c r="V272" s="13" t="n"/>
      <c r="W272" s="13" t="n"/>
      <c r="X272" s="14" t="n"/>
      <c r="Y272" s="14" t="n"/>
      <c r="Z272" s="8" t="n"/>
    </row>
    <row r="273">
      <c r="A273" s="4" t="n"/>
      <c r="B273" s="8" t="n"/>
      <c r="C273" s="4" t="n"/>
      <c r="D273" s="4" t="n"/>
      <c r="E273" s="4" t="n"/>
      <c r="F273" s="12" t="n"/>
      <c r="G273" s="4" t="n"/>
      <c r="H273" s="4" t="n"/>
      <c r="I273" s="4" t="n"/>
      <c r="J273" s="5" t="n"/>
      <c r="K273" s="5">
        <f>IF(J273="","",J273+4)</f>
        <v/>
      </c>
      <c r="L273" s="5">
        <f>IF(J273="","",J273+9)</f>
        <v/>
      </c>
      <c r="M273" s="5">
        <f>IF(J273="","",J273+16)</f>
        <v/>
      </c>
      <c r="N273" s="4">
        <f>IF(OR(I273="Contacted",I273="Terms sent"),IF(TODAY()&gt;=M273,"Close (step 3)",IF(TODAY()&gt;=L273,"Follow-up 2",IF(TODAY()&gt;=K273,"Follow-up 1",""))),IF(I273="Shortlisted",IF(G273="","Score it",""),""))</f>
        <v/>
      </c>
      <c r="O273" s="5" t="n"/>
      <c r="P273" s="4" t="n"/>
      <c r="Q273" s="4" t="n"/>
      <c r="R273" s="5" t="n"/>
      <c r="S273" s="4" t="n"/>
      <c r="T273" s="4" t="n"/>
      <c r="U273" s="13" t="n"/>
      <c r="V273" s="13" t="n"/>
      <c r="W273" s="13" t="n"/>
      <c r="X273" s="14" t="n"/>
      <c r="Y273" s="14" t="n"/>
      <c r="Z273" s="8" t="n"/>
    </row>
    <row r="274">
      <c r="A274" s="4" t="n"/>
      <c r="B274" s="8" t="n"/>
      <c r="C274" s="4" t="n"/>
      <c r="D274" s="4" t="n"/>
      <c r="E274" s="4" t="n"/>
      <c r="F274" s="12" t="n"/>
      <c r="G274" s="4" t="n"/>
      <c r="H274" s="4" t="n"/>
      <c r="I274" s="4" t="n"/>
      <c r="J274" s="5" t="n"/>
      <c r="K274" s="5">
        <f>IF(J274="","",J274+4)</f>
        <v/>
      </c>
      <c r="L274" s="5">
        <f>IF(J274="","",J274+9)</f>
        <v/>
      </c>
      <c r="M274" s="5">
        <f>IF(J274="","",J274+16)</f>
        <v/>
      </c>
      <c r="N274" s="4">
        <f>IF(OR(I274="Contacted",I274="Terms sent"),IF(TODAY()&gt;=M274,"Close (step 3)",IF(TODAY()&gt;=L274,"Follow-up 2",IF(TODAY()&gt;=K274,"Follow-up 1",""))),IF(I274="Shortlisted",IF(G274="","Score it",""),""))</f>
        <v/>
      </c>
      <c r="O274" s="5" t="n"/>
      <c r="P274" s="4" t="n"/>
      <c r="Q274" s="4" t="n"/>
      <c r="R274" s="5" t="n"/>
      <c r="S274" s="4" t="n"/>
      <c r="T274" s="4" t="n"/>
      <c r="U274" s="13" t="n"/>
      <c r="V274" s="13" t="n"/>
      <c r="W274" s="13" t="n"/>
      <c r="X274" s="14" t="n"/>
      <c r="Y274" s="14" t="n"/>
      <c r="Z274" s="8" t="n"/>
    </row>
    <row r="275">
      <c r="A275" s="4" t="n"/>
      <c r="B275" s="8" t="n"/>
      <c r="C275" s="4" t="n"/>
      <c r="D275" s="4" t="n"/>
      <c r="E275" s="4" t="n"/>
      <c r="F275" s="12" t="n"/>
      <c r="G275" s="4" t="n"/>
      <c r="H275" s="4" t="n"/>
      <c r="I275" s="4" t="n"/>
      <c r="J275" s="5" t="n"/>
      <c r="K275" s="5">
        <f>IF(J275="","",J275+4)</f>
        <v/>
      </c>
      <c r="L275" s="5">
        <f>IF(J275="","",J275+9)</f>
        <v/>
      </c>
      <c r="M275" s="5">
        <f>IF(J275="","",J275+16)</f>
        <v/>
      </c>
      <c r="N275" s="4">
        <f>IF(OR(I275="Contacted",I275="Terms sent"),IF(TODAY()&gt;=M275,"Close (step 3)",IF(TODAY()&gt;=L275,"Follow-up 2",IF(TODAY()&gt;=K275,"Follow-up 1",""))),IF(I275="Shortlisted",IF(G275="","Score it",""),""))</f>
        <v/>
      </c>
      <c r="O275" s="5" t="n"/>
      <c r="P275" s="4" t="n"/>
      <c r="Q275" s="4" t="n"/>
      <c r="R275" s="5" t="n"/>
      <c r="S275" s="4" t="n"/>
      <c r="T275" s="4" t="n"/>
      <c r="U275" s="13" t="n"/>
      <c r="V275" s="13" t="n"/>
      <c r="W275" s="13" t="n"/>
      <c r="X275" s="14" t="n"/>
      <c r="Y275" s="14" t="n"/>
      <c r="Z275" s="8" t="n"/>
    </row>
    <row r="276">
      <c r="A276" s="4" t="n"/>
      <c r="B276" s="8" t="n"/>
      <c r="C276" s="4" t="n"/>
      <c r="D276" s="4" t="n"/>
      <c r="E276" s="4" t="n"/>
      <c r="F276" s="12" t="n"/>
      <c r="G276" s="4" t="n"/>
      <c r="H276" s="4" t="n"/>
      <c r="I276" s="4" t="n"/>
      <c r="J276" s="5" t="n"/>
      <c r="K276" s="5">
        <f>IF(J276="","",J276+4)</f>
        <v/>
      </c>
      <c r="L276" s="5">
        <f>IF(J276="","",J276+9)</f>
        <v/>
      </c>
      <c r="M276" s="5">
        <f>IF(J276="","",J276+16)</f>
        <v/>
      </c>
      <c r="N276" s="4">
        <f>IF(OR(I276="Contacted",I276="Terms sent"),IF(TODAY()&gt;=M276,"Close (step 3)",IF(TODAY()&gt;=L276,"Follow-up 2",IF(TODAY()&gt;=K276,"Follow-up 1",""))),IF(I276="Shortlisted",IF(G276="","Score it",""),""))</f>
        <v/>
      </c>
      <c r="O276" s="5" t="n"/>
      <c r="P276" s="4" t="n"/>
      <c r="Q276" s="4" t="n"/>
      <c r="R276" s="5" t="n"/>
      <c r="S276" s="4" t="n"/>
      <c r="T276" s="4" t="n"/>
      <c r="U276" s="13" t="n"/>
      <c r="V276" s="13" t="n"/>
      <c r="W276" s="13" t="n"/>
      <c r="X276" s="14" t="n"/>
      <c r="Y276" s="14" t="n"/>
      <c r="Z276" s="8" t="n"/>
    </row>
    <row r="277">
      <c r="A277" s="4" t="n"/>
      <c r="B277" s="8" t="n"/>
      <c r="C277" s="4" t="n"/>
      <c r="D277" s="4" t="n"/>
      <c r="E277" s="4" t="n"/>
      <c r="F277" s="12" t="n"/>
      <c r="G277" s="4" t="n"/>
      <c r="H277" s="4" t="n"/>
      <c r="I277" s="4" t="n"/>
      <c r="J277" s="5" t="n"/>
      <c r="K277" s="5">
        <f>IF(J277="","",J277+4)</f>
        <v/>
      </c>
      <c r="L277" s="5">
        <f>IF(J277="","",J277+9)</f>
        <v/>
      </c>
      <c r="M277" s="5">
        <f>IF(J277="","",J277+16)</f>
        <v/>
      </c>
      <c r="N277" s="4">
        <f>IF(OR(I277="Contacted",I277="Terms sent"),IF(TODAY()&gt;=M277,"Close (step 3)",IF(TODAY()&gt;=L277,"Follow-up 2",IF(TODAY()&gt;=K277,"Follow-up 1",""))),IF(I277="Shortlisted",IF(G277="","Score it",""),""))</f>
        <v/>
      </c>
      <c r="O277" s="5" t="n"/>
      <c r="P277" s="4" t="n"/>
      <c r="Q277" s="4" t="n"/>
      <c r="R277" s="5" t="n"/>
      <c r="S277" s="4" t="n"/>
      <c r="T277" s="4" t="n"/>
      <c r="U277" s="13" t="n"/>
      <c r="V277" s="13" t="n"/>
      <c r="W277" s="13" t="n"/>
      <c r="X277" s="14" t="n"/>
      <c r="Y277" s="14" t="n"/>
      <c r="Z277" s="8" t="n"/>
    </row>
    <row r="278">
      <c r="A278" s="4" t="n"/>
      <c r="B278" s="8" t="n"/>
      <c r="C278" s="4" t="n"/>
      <c r="D278" s="4" t="n"/>
      <c r="E278" s="4" t="n"/>
      <c r="F278" s="12" t="n"/>
      <c r="G278" s="4" t="n"/>
      <c r="H278" s="4" t="n"/>
      <c r="I278" s="4" t="n"/>
      <c r="J278" s="5" t="n"/>
      <c r="K278" s="5">
        <f>IF(J278="","",J278+4)</f>
        <v/>
      </c>
      <c r="L278" s="5">
        <f>IF(J278="","",J278+9)</f>
        <v/>
      </c>
      <c r="M278" s="5">
        <f>IF(J278="","",J278+16)</f>
        <v/>
      </c>
      <c r="N278" s="4">
        <f>IF(OR(I278="Contacted",I278="Terms sent"),IF(TODAY()&gt;=M278,"Close (step 3)",IF(TODAY()&gt;=L278,"Follow-up 2",IF(TODAY()&gt;=K278,"Follow-up 1",""))),IF(I278="Shortlisted",IF(G278="","Score it",""),""))</f>
        <v/>
      </c>
      <c r="O278" s="5" t="n"/>
      <c r="P278" s="4" t="n"/>
      <c r="Q278" s="4" t="n"/>
      <c r="R278" s="5" t="n"/>
      <c r="S278" s="4" t="n"/>
      <c r="T278" s="4" t="n"/>
      <c r="U278" s="13" t="n"/>
      <c r="V278" s="13" t="n"/>
      <c r="W278" s="13" t="n"/>
      <c r="X278" s="14" t="n"/>
      <c r="Y278" s="14" t="n"/>
      <c r="Z278" s="8" t="n"/>
    </row>
    <row r="279">
      <c r="A279" s="4" t="n"/>
      <c r="B279" s="8" t="n"/>
      <c r="C279" s="4" t="n"/>
      <c r="D279" s="4" t="n"/>
      <c r="E279" s="4" t="n"/>
      <c r="F279" s="12" t="n"/>
      <c r="G279" s="4" t="n"/>
      <c r="H279" s="4" t="n"/>
      <c r="I279" s="4" t="n"/>
      <c r="J279" s="5" t="n"/>
      <c r="K279" s="5">
        <f>IF(J279="","",J279+4)</f>
        <v/>
      </c>
      <c r="L279" s="5">
        <f>IF(J279="","",J279+9)</f>
        <v/>
      </c>
      <c r="M279" s="5">
        <f>IF(J279="","",J279+16)</f>
        <v/>
      </c>
      <c r="N279" s="4">
        <f>IF(OR(I279="Contacted",I279="Terms sent"),IF(TODAY()&gt;=M279,"Close (step 3)",IF(TODAY()&gt;=L279,"Follow-up 2",IF(TODAY()&gt;=K279,"Follow-up 1",""))),IF(I279="Shortlisted",IF(G279="","Score it",""),""))</f>
        <v/>
      </c>
      <c r="O279" s="5" t="n"/>
      <c r="P279" s="4" t="n"/>
      <c r="Q279" s="4" t="n"/>
      <c r="R279" s="5" t="n"/>
      <c r="S279" s="4" t="n"/>
      <c r="T279" s="4" t="n"/>
      <c r="U279" s="13" t="n"/>
      <c r="V279" s="13" t="n"/>
      <c r="W279" s="13" t="n"/>
      <c r="X279" s="14" t="n"/>
      <c r="Y279" s="14" t="n"/>
      <c r="Z279" s="8" t="n"/>
    </row>
    <row r="280">
      <c r="A280" s="4" t="n"/>
      <c r="B280" s="8" t="n"/>
      <c r="C280" s="4" t="n"/>
      <c r="D280" s="4" t="n"/>
      <c r="E280" s="4" t="n"/>
      <c r="F280" s="12" t="n"/>
      <c r="G280" s="4" t="n"/>
      <c r="H280" s="4" t="n"/>
      <c r="I280" s="4" t="n"/>
      <c r="J280" s="5" t="n"/>
      <c r="K280" s="5">
        <f>IF(J280="","",J280+4)</f>
        <v/>
      </c>
      <c r="L280" s="5">
        <f>IF(J280="","",J280+9)</f>
        <v/>
      </c>
      <c r="M280" s="5">
        <f>IF(J280="","",J280+16)</f>
        <v/>
      </c>
      <c r="N280" s="4">
        <f>IF(OR(I280="Contacted",I280="Terms sent"),IF(TODAY()&gt;=M280,"Close (step 3)",IF(TODAY()&gt;=L280,"Follow-up 2",IF(TODAY()&gt;=K280,"Follow-up 1",""))),IF(I280="Shortlisted",IF(G280="","Score it",""),""))</f>
        <v/>
      </c>
      <c r="O280" s="5" t="n"/>
      <c r="P280" s="4" t="n"/>
      <c r="Q280" s="4" t="n"/>
      <c r="R280" s="5" t="n"/>
      <c r="S280" s="4" t="n"/>
      <c r="T280" s="4" t="n"/>
      <c r="U280" s="13" t="n"/>
      <c r="V280" s="13" t="n"/>
      <c r="W280" s="13" t="n"/>
      <c r="X280" s="14" t="n"/>
      <c r="Y280" s="14" t="n"/>
      <c r="Z280" s="8" t="n"/>
    </row>
    <row r="281">
      <c r="A281" s="4" t="n"/>
      <c r="B281" s="8" t="n"/>
      <c r="C281" s="4" t="n"/>
      <c r="D281" s="4" t="n"/>
      <c r="E281" s="4" t="n"/>
      <c r="F281" s="12" t="n"/>
      <c r="G281" s="4" t="n"/>
      <c r="H281" s="4" t="n"/>
      <c r="I281" s="4" t="n"/>
      <c r="J281" s="5" t="n"/>
      <c r="K281" s="5">
        <f>IF(J281="","",J281+4)</f>
        <v/>
      </c>
      <c r="L281" s="5">
        <f>IF(J281="","",J281+9)</f>
        <v/>
      </c>
      <c r="M281" s="5">
        <f>IF(J281="","",J281+16)</f>
        <v/>
      </c>
      <c r="N281" s="4">
        <f>IF(OR(I281="Contacted",I281="Terms sent"),IF(TODAY()&gt;=M281,"Close (step 3)",IF(TODAY()&gt;=L281,"Follow-up 2",IF(TODAY()&gt;=K281,"Follow-up 1",""))),IF(I281="Shortlisted",IF(G281="","Score it",""),""))</f>
        <v/>
      </c>
      <c r="O281" s="5" t="n"/>
      <c r="P281" s="4" t="n"/>
      <c r="Q281" s="4" t="n"/>
      <c r="R281" s="5" t="n"/>
      <c r="S281" s="4" t="n"/>
      <c r="T281" s="4" t="n"/>
      <c r="U281" s="13" t="n"/>
      <c r="V281" s="13" t="n"/>
      <c r="W281" s="13" t="n"/>
      <c r="X281" s="14" t="n"/>
      <c r="Y281" s="14" t="n"/>
      <c r="Z281" s="8" t="n"/>
    </row>
    <row r="282">
      <c r="A282" s="4" t="n"/>
      <c r="B282" s="8" t="n"/>
      <c r="C282" s="4" t="n"/>
      <c r="D282" s="4" t="n"/>
      <c r="E282" s="4" t="n"/>
      <c r="F282" s="12" t="n"/>
      <c r="G282" s="4" t="n"/>
      <c r="H282" s="4" t="n"/>
      <c r="I282" s="4" t="n"/>
      <c r="J282" s="5" t="n"/>
      <c r="K282" s="5">
        <f>IF(J282="","",J282+4)</f>
        <v/>
      </c>
      <c r="L282" s="5">
        <f>IF(J282="","",J282+9)</f>
        <v/>
      </c>
      <c r="M282" s="5">
        <f>IF(J282="","",J282+16)</f>
        <v/>
      </c>
      <c r="N282" s="4">
        <f>IF(OR(I282="Contacted",I282="Terms sent"),IF(TODAY()&gt;=M282,"Close (step 3)",IF(TODAY()&gt;=L282,"Follow-up 2",IF(TODAY()&gt;=K282,"Follow-up 1",""))),IF(I282="Shortlisted",IF(G282="","Score it",""),""))</f>
        <v/>
      </c>
      <c r="O282" s="5" t="n"/>
      <c r="P282" s="4" t="n"/>
      <c r="Q282" s="4" t="n"/>
      <c r="R282" s="5" t="n"/>
      <c r="S282" s="4" t="n"/>
      <c r="T282" s="4" t="n"/>
      <c r="U282" s="13" t="n"/>
      <c r="V282" s="13" t="n"/>
      <c r="W282" s="13" t="n"/>
      <c r="X282" s="14" t="n"/>
      <c r="Y282" s="14" t="n"/>
      <c r="Z282" s="8" t="n"/>
    </row>
    <row r="283">
      <c r="A283" s="4" t="n"/>
      <c r="B283" s="8" t="n"/>
      <c r="C283" s="4" t="n"/>
      <c r="D283" s="4" t="n"/>
      <c r="E283" s="4" t="n"/>
      <c r="F283" s="12" t="n"/>
      <c r="G283" s="4" t="n"/>
      <c r="H283" s="4" t="n"/>
      <c r="I283" s="4" t="n"/>
      <c r="J283" s="5" t="n"/>
      <c r="K283" s="5">
        <f>IF(J283="","",J283+4)</f>
        <v/>
      </c>
      <c r="L283" s="5">
        <f>IF(J283="","",J283+9)</f>
        <v/>
      </c>
      <c r="M283" s="5">
        <f>IF(J283="","",J283+16)</f>
        <v/>
      </c>
      <c r="N283" s="4">
        <f>IF(OR(I283="Contacted",I283="Terms sent"),IF(TODAY()&gt;=M283,"Close (step 3)",IF(TODAY()&gt;=L283,"Follow-up 2",IF(TODAY()&gt;=K283,"Follow-up 1",""))),IF(I283="Shortlisted",IF(G283="","Score it",""),""))</f>
        <v/>
      </c>
      <c r="O283" s="5" t="n"/>
      <c r="P283" s="4" t="n"/>
      <c r="Q283" s="4" t="n"/>
      <c r="R283" s="5" t="n"/>
      <c r="S283" s="4" t="n"/>
      <c r="T283" s="4" t="n"/>
      <c r="U283" s="13" t="n"/>
      <c r="V283" s="13" t="n"/>
      <c r="W283" s="13" t="n"/>
      <c r="X283" s="14" t="n"/>
      <c r="Y283" s="14" t="n"/>
      <c r="Z283" s="8" t="n"/>
    </row>
    <row r="284">
      <c r="A284" s="4" t="n"/>
      <c r="B284" s="8" t="n"/>
      <c r="C284" s="4" t="n"/>
      <c r="D284" s="4" t="n"/>
      <c r="E284" s="4" t="n"/>
      <c r="F284" s="12" t="n"/>
      <c r="G284" s="4" t="n"/>
      <c r="H284" s="4" t="n"/>
      <c r="I284" s="4" t="n"/>
      <c r="J284" s="5" t="n"/>
      <c r="K284" s="5">
        <f>IF(J284="","",J284+4)</f>
        <v/>
      </c>
      <c r="L284" s="5">
        <f>IF(J284="","",J284+9)</f>
        <v/>
      </c>
      <c r="M284" s="5">
        <f>IF(J284="","",J284+16)</f>
        <v/>
      </c>
      <c r="N284" s="4">
        <f>IF(OR(I284="Contacted",I284="Terms sent"),IF(TODAY()&gt;=M284,"Close (step 3)",IF(TODAY()&gt;=L284,"Follow-up 2",IF(TODAY()&gt;=K284,"Follow-up 1",""))),IF(I284="Shortlisted",IF(G284="","Score it",""),""))</f>
        <v/>
      </c>
      <c r="O284" s="5" t="n"/>
      <c r="P284" s="4" t="n"/>
      <c r="Q284" s="4" t="n"/>
      <c r="R284" s="5" t="n"/>
      <c r="S284" s="4" t="n"/>
      <c r="T284" s="4" t="n"/>
      <c r="U284" s="13" t="n"/>
      <c r="V284" s="13" t="n"/>
      <c r="W284" s="13" t="n"/>
      <c r="X284" s="14" t="n"/>
      <c r="Y284" s="14" t="n"/>
      <c r="Z284" s="8" t="n"/>
    </row>
    <row r="285">
      <c r="A285" s="4" t="n"/>
      <c r="B285" s="8" t="n"/>
      <c r="C285" s="4" t="n"/>
      <c r="D285" s="4" t="n"/>
      <c r="E285" s="4" t="n"/>
      <c r="F285" s="12" t="n"/>
      <c r="G285" s="4" t="n"/>
      <c r="H285" s="4" t="n"/>
      <c r="I285" s="4" t="n"/>
      <c r="J285" s="5" t="n"/>
      <c r="K285" s="5">
        <f>IF(J285="","",J285+4)</f>
        <v/>
      </c>
      <c r="L285" s="5">
        <f>IF(J285="","",J285+9)</f>
        <v/>
      </c>
      <c r="M285" s="5">
        <f>IF(J285="","",J285+16)</f>
        <v/>
      </c>
      <c r="N285" s="4">
        <f>IF(OR(I285="Contacted",I285="Terms sent"),IF(TODAY()&gt;=M285,"Close (step 3)",IF(TODAY()&gt;=L285,"Follow-up 2",IF(TODAY()&gt;=K285,"Follow-up 1",""))),IF(I285="Shortlisted",IF(G285="","Score it",""),""))</f>
        <v/>
      </c>
      <c r="O285" s="5" t="n"/>
      <c r="P285" s="4" t="n"/>
      <c r="Q285" s="4" t="n"/>
      <c r="R285" s="5" t="n"/>
      <c r="S285" s="4" t="n"/>
      <c r="T285" s="4" t="n"/>
      <c r="U285" s="13" t="n"/>
      <c r="V285" s="13" t="n"/>
      <c r="W285" s="13" t="n"/>
      <c r="X285" s="14" t="n"/>
      <c r="Y285" s="14" t="n"/>
      <c r="Z285" s="8" t="n"/>
    </row>
    <row r="286">
      <c r="A286" s="4" t="n"/>
      <c r="B286" s="8" t="n"/>
      <c r="C286" s="4" t="n"/>
      <c r="D286" s="4" t="n"/>
      <c r="E286" s="4" t="n"/>
      <c r="F286" s="12" t="n"/>
      <c r="G286" s="4" t="n"/>
      <c r="H286" s="4" t="n"/>
      <c r="I286" s="4" t="n"/>
      <c r="J286" s="5" t="n"/>
      <c r="K286" s="5">
        <f>IF(J286="","",J286+4)</f>
        <v/>
      </c>
      <c r="L286" s="5">
        <f>IF(J286="","",J286+9)</f>
        <v/>
      </c>
      <c r="M286" s="5">
        <f>IF(J286="","",J286+16)</f>
        <v/>
      </c>
      <c r="N286" s="4">
        <f>IF(OR(I286="Contacted",I286="Terms sent"),IF(TODAY()&gt;=M286,"Close (step 3)",IF(TODAY()&gt;=L286,"Follow-up 2",IF(TODAY()&gt;=K286,"Follow-up 1",""))),IF(I286="Shortlisted",IF(G286="","Score it",""),""))</f>
        <v/>
      </c>
      <c r="O286" s="5" t="n"/>
      <c r="P286" s="4" t="n"/>
      <c r="Q286" s="4" t="n"/>
      <c r="R286" s="5" t="n"/>
      <c r="S286" s="4" t="n"/>
      <c r="T286" s="4" t="n"/>
      <c r="U286" s="13" t="n"/>
      <c r="V286" s="13" t="n"/>
      <c r="W286" s="13" t="n"/>
      <c r="X286" s="14" t="n"/>
      <c r="Y286" s="14" t="n"/>
      <c r="Z286" s="8" t="n"/>
    </row>
    <row r="287">
      <c r="A287" s="4" t="n"/>
      <c r="B287" s="8" t="n"/>
      <c r="C287" s="4" t="n"/>
      <c r="D287" s="4" t="n"/>
      <c r="E287" s="4" t="n"/>
      <c r="F287" s="12" t="n"/>
      <c r="G287" s="4" t="n"/>
      <c r="H287" s="4" t="n"/>
      <c r="I287" s="4" t="n"/>
      <c r="J287" s="5" t="n"/>
      <c r="K287" s="5">
        <f>IF(J287="","",J287+4)</f>
        <v/>
      </c>
      <c r="L287" s="5">
        <f>IF(J287="","",J287+9)</f>
        <v/>
      </c>
      <c r="M287" s="5">
        <f>IF(J287="","",J287+16)</f>
        <v/>
      </c>
      <c r="N287" s="4">
        <f>IF(OR(I287="Contacted",I287="Terms sent"),IF(TODAY()&gt;=M287,"Close (step 3)",IF(TODAY()&gt;=L287,"Follow-up 2",IF(TODAY()&gt;=K287,"Follow-up 1",""))),IF(I287="Shortlisted",IF(G287="","Score it",""),""))</f>
        <v/>
      </c>
      <c r="O287" s="5" t="n"/>
      <c r="P287" s="4" t="n"/>
      <c r="Q287" s="4" t="n"/>
      <c r="R287" s="5" t="n"/>
      <c r="S287" s="4" t="n"/>
      <c r="T287" s="4" t="n"/>
      <c r="U287" s="13" t="n"/>
      <c r="V287" s="13" t="n"/>
      <c r="W287" s="13" t="n"/>
      <c r="X287" s="14" t="n"/>
      <c r="Y287" s="14" t="n"/>
      <c r="Z287" s="8" t="n"/>
    </row>
    <row r="288">
      <c r="A288" s="4" t="n"/>
      <c r="B288" s="8" t="n"/>
      <c r="C288" s="4" t="n"/>
      <c r="D288" s="4" t="n"/>
      <c r="E288" s="4" t="n"/>
      <c r="F288" s="12" t="n"/>
      <c r="G288" s="4" t="n"/>
      <c r="H288" s="4" t="n"/>
      <c r="I288" s="4" t="n"/>
      <c r="J288" s="5" t="n"/>
      <c r="K288" s="5">
        <f>IF(J288="","",J288+4)</f>
        <v/>
      </c>
      <c r="L288" s="5">
        <f>IF(J288="","",J288+9)</f>
        <v/>
      </c>
      <c r="M288" s="5">
        <f>IF(J288="","",J288+16)</f>
        <v/>
      </c>
      <c r="N288" s="4">
        <f>IF(OR(I288="Contacted",I288="Terms sent"),IF(TODAY()&gt;=M288,"Close (step 3)",IF(TODAY()&gt;=L288,"Follow-up 2",IF(TODAY()&gt;=K288,"Follow-up 1",""))),IF(I288="Shortlisted",IF(G288="","Score it",""),""))</f>
        <v/>
      </c>
      <c r="O288" s="5" t="n"/>
      <c r="P288" s="4" t="n"/>
      <c r="Q288" s="4" t="n"/>
      <c r="R288" s="5" t="n"/>
      <c r="S288" s="4" t="n"/>
      <c r="T288" s="4" t="n"/>
      <c r="U288" s="13" t="n"/>
      <c r="V288" s="13" t="n"/>
      <c r="W288" s="13" t="n"/>
      <c r="X288" s="14" t="n"/>
      <c r="Y288" s="14" t="n"/>
      <c r="Z288" s="8" t="n"/>
    </row>
    <row r="289">
      <c r="A289" s="4" t="n"/>
      <c r="B289" s="8" t="n"/>
      <c r="C289" s="4" t="n"/>
      <c r="D289" s="4" t="n"/>
      <c r="E289" s="4" t="n"/>
      <c r="F289" s="12" t="n"/>
      <c r="G289" s="4" t="n"/>
      <c r="H289" s="4" t="n"/>
      <c r="I289" s="4" t="n"/>
      <c r="J289" s="5" t="n"/>
      <c r="K289" s="5">
        <f>IF(J289="","",J289+4)</f>
        <v/>
      </c>
      <c r="L289" s="5">
        <f>IF(J289="","",J289+9)</f>
        <v/>
      </c>
      <c r="M289" s="5">
        <f>IF(J289="","",J289+16)</f>
        <v/>
      </c>
      <c r="N289" s="4">
        <f>IF(OR(I289="Contacted",I289="Terms sent"),IF(TODAY()&gt;=M289,"Close (step 3)",IF(TODAY()&gt;=L289,"Follow-up 2",IF(TODAY()&gt;=K289,"Follow-up 1",""))),IF(I289="Shortlisted",IF(G289="","Score it",""),""))</f>
        <v/>
      </c>
      <c r="O289" s="5" t="n"/>
      <c r="P289" s="4" t="n"/>
      <c r="Q289" s="4" t="n"/>
      <c r="R289" s="5" t="n"/>
      <c r="S289" s="4" t="n"/>
      <c r="T289" s="4" t="n"/>
      <c r="U289" s="13" t="n"/>
      <c r="V289" s="13" t="n"/>
      <c r="W289" s="13" t="n"/>
      <c r="X289" s="14" t="n"/>
      <c r="Y289" s="14" t="n"/>
      <c r="Z289" s="8" t="n"/>
    </row>
    <row r="290">
      <c r="A290" s="4" t="n"/>
      <c r="B290" s="8" t="n"/>
      <c r="C290" s="4" t="n"/>
      <c r="D290" s="4" t="n"/>
      <c r="E290" s="4" t="n"/>
      <c r="F290" s="12" t="n"/>
      <c r="G290" s="4" t="n"/>
      <c r="H290" s="4" t="n"/>
      <c r="I290" s="4" t="n"/>
      <c r="J290" s="5" t="n"/>
      <c r="K290" s="5">
        <f>IF(J290="","",J290+4)</f>
        <v/>
      </c>
      <c r="L290" s="5">
        <f>IF(J290="","",J290+9)</f>
        <v/>
      </c>
      <c r="M290" s="5">
        <f>IF(J290="","",J290+16)</f>
        <v/>
      </c>
      <c r="N290" s="4">
        <f>IF(OR(I290="Contacted",I290="Terms sent"),IF(TODAY()&gt;=M290,"Close (step 3)",IF(TODAY()&gt;=L290,"Follow-up 2",IF(TODAY()&gt;=K290,"Follow-up 1",""))),IF(I290="Shortlisted",IF(G290="","Score it",""),""))</f>
        <v/>
      </c>
      <c r="O290" s="5" t="n"/>
      <c r="P290" s="4" t="n"/>
      <c r="Q290" s="4" t="n"/>
      <c r="R290" s="5" t="n"/>
      <c r="S290" s="4" t="n"/>
      <c r="T290" s="4" t="n"/>
      <c r="U290" s="13" t="n"/>
      <c r="V290" s="13" t="n"/>
      <c r="W290" s="13" t="n"/>
      <c r="X290" s="14" t="n"/>
      <c r="Y290" s="14" t="n"/>
      <c r="Z290" s="8" t="n"/>
    </row>
    <row r="291">
      <c r="A291" s="4" t="n"/>
      <c r="B291" s="8" t="n"/>
      <c r="C291" s="4" t="n"/>
      <c r="D291" s="4" t="n"/>
      <c r="E291" s="4" t="n"/>
      <c r="F291" s="12" t="n"/>
      <c r="G291" s="4" t="n"/>
      <c r="H291" s="4" t="n"/>
      <c r="I291" s="4" t="n"/>
      <c r="J291" s="5" t="n"/>
      <c r="K291" s="5">
        <f>IF(J291="","",J291+4)</f>
        <v/>
      </c>
      <c r="L291" s="5">
        <f>IF(J291="","",J291+9)</f>
        <v/>
      </c>
      <c r="M291" s="5">
        <f>IF(J291="","",J291+16)</f>
        <v/>
      </c>
      <c r="N291" s="4">
        <f>IF(OR(I291="Contacted",I291="Terms sent"),IF(TODAY()&gt;=M291,"Close (step 3)",IF(TODAY()&gt;=L291,"Follow-up 2",IF(TODAY()&gt;=K291,"Follow-up 1",""))),IF(I291="Shortlisted",IF(G291="","Score it",""),""))</f>
        <v/>
      </c>
      <c r="O291" s="5" t="n"/>
      <c r="P291" s="4" t="n"/>
      <c r="Q291" s="4" t="n"/>
      <c r="R291" s="5" t="n"/>
      <c r="S291" s="4" t="n"/>
      <c r="T291" s="4" t="n"/>
      <c r="U291" s="13" t="n"/>
      <c r="V291" s="13" t="n"/>
      <c r="W291" s="13" t="n"/>
      <c r="X291" s="14" t="n"/>
      <c r="Y291" s="14" t="n"/>
      <c r="Z291" s="8" t="n"/>
    </row>
    <row r="292">
      <c r="A292" s="4" t="n"/>
      <c r="B292" s="8" t="n"/>
      <c r="C292" s="4" t="n"/>
      <c r="D292" s="4" t="n"/>
      <c r="E292" s="4" t="n"/>
      <c r="F292" s="12" t="n"/>
      <c r="G292" s="4" t="n"/>
      <c r="H292" s="4" t="n"/>
      <c r="I292" s="4" t="n"/>
      <c r="J292" s="5" t="n"/>
      <c r="K292" s="5">
        <f>IF(J292="","",J292+4)</f>
        <v/>
      </c>
      <c r="L292" s="5">
        <f>IF(J292="","",J292+9)</f>
        <v/>
      </c>
      <c r="M292" s="5">
        <f>IF(J292="","",J292+16)</f>
        <v/>
      </c>
      <c r="N292" s="4">
        <f>IF(OR(I292="Contacted",I292="Terms sent"),IF(TODAY()&gt;=M292,"Close (step 3)",IF(TODAY()&gt;=L292,"Follow-up 2",IF(TODAY()&gt;=K292,"Follow-up 1",""))),IF(I292="Shortlisted",IF(G292="","Score it",""),""))</f>
        <v/>
      </c>
      <c r="O292" s="5" t="n"/>
      <c r="P292" s="4" t="n"/>
      <c r="Q292" s="4" t="n"/>
      <c r="R292" s="5" t="n"/>
      <c r="S292" s="4" t="n"/>
      <c r="T292" s="4" t="n"/>
      <c r="U292" s="13" t="n"/>
      <c r="V292" s="13" t="n"/>
      <c r="W292" s="13" t="n"/>
      <c r="X292" s="14" t="n"/>
      <c r="Y292" s="14" t="n"/>
      <c r="Z292" s="8" t="n"/>
    </row>
    <row r="293">
      <c r="A293" s="4" t="n"/>
      <c r="B293" s="8" t="n"/>
      <c r="C293" s="4" t="n"/>
      <c r="D293" s="4" t="n"/>
      <c r="E293" s="4" t="n"/>
      <c r="F293" s="12" t="n"/>
      <c r="G293" s="4" t="n"/>
      <c r="H293" s="4" t="n"/>
      <c r="I293" s="4" t="n"/>
      <c r="J293" s="5" t="n"/>
      <c r="K293" s="5">
        <f>IF(J293="","",J293+4)</f>
        <v/>
      </c>
      <c r="L293" s="5">
        <f>IF(J293="","",J293+9)</f>
        <v/>
      </c>
      <c r="M293" s="5">
        <f>IF(J293="","",J293+16)</f>
        <v/>
      </c>
      <c r="N293" s="4">
        <f>IF(OR(I293="Contacted",I293="Terms sent"),IF(TODAY()&gt;=M293,"Close (step 3)",IF(TODAY()&gt;=L293,"Follow-up 2",IF(TODAY()&gt;=K293,"Follow-up 1",""))),IF(I293="Shortlisted",IF(G293="","Score it",""),""))</f>
        <v/>
      </c>
      <c r="O293" s="5" t="n"/>
      <c r="P293" s="4" t="n"/>
      <c r="Q293" s="4" t="n"/>
      <c r="R293" s="5" t="n"/>
      <c r="S293" s="4" t="n"/>
      <c r="T293" s="4" t="n"/>
      <c r="U293" s="13" t="n"/>
      <c r="V293" s="13" t="n"/>
      <c r="W293" s="13" t="n"/>
      <c r="X293" s="14" t="n"/>
      <c r="Y293" s="14" t="n"/>
      <c r="Z293" s="8" t="n"/>
    </row>
    <row r="294">
      <c r="A294" s="4" t="n"/>
      <c r="B294" s="8" t="n"/>
      <c r="C294" s="4" t="n"/>
      <c r="D294" s="4" t="n"/>
      <c r="E294" s="4" t="n"/>
      <c r="F294" s="12" t="n"/>
      <c r="G294" s="4" t="n"/>
      <c r="H294" s="4" t="n"/>
      <c r="I294" s="4" t="n"/>
      <c r="J294" s="5" t="n"/>
      <c r="K294" s="5">
        <f>IF(J294="","",J294+4)</f>
        <v/>
      </c>
      <c r="L294" s="5">
        <f>IF(J294="","",J294+9)</f>
        <v/>
      </c>
      <c r="M294" s="5">
        <f>IF(J294="","",J294+16)</f>
        <v/>
      </c>
      <c r="N294" s="4">
        <f>IF(OR(I294="Contacted",I294="Terms sent"),IF(TODAY()&gt;=M294,"Close (step 3)",IF(TODAY()&gt;=L294,"Follow-up 2",IF(TODAY()&gt;=K294,"Follow-up 1",""))),IF(I294="Shortlisted",IF(G294="","Score it",""),""))</f>
        <v/>
      </c>
      <c r="O294" s="5" t="n"/>
      <c r="P294" s="4" t="n"/>
      <c r="Q294" s="4" t="n"/>
      <c r="R294" s="5" t="n"/>
      <c r="S294" s="4" t="n"/>
      <c r="T294" s="4" t="n"/>
      <c r="U294" s="13" t="n"/>
      <c r="V294" s="13" t="n"/>
      <c r="W294" s="13" t="n"/>
      <c r="X294" s="14" t="n"/>
      <c r="Y294" s="14" t="n"/>
      <c r="Z294" s="8" t="n"/>
    </row>
    <row r="295">
      <c r="A295" s="4" t="n"/>
      <c r="B295" s="8" t="n"/>
      <c r="C295" s="4" t="n"/>
      <c r="D295" s="4" t="n"/>
      <c r="E295" s="4" t="n"/>
      <c r="F295" s="12" t="n"/>
      <c r="G295" s="4" t="n"/>
      <c r="H295" s="4" t="n"/>
      <c r="I295" s="4" t="n"/>
      <c r="J295" s="5" t="n"/>
      <c r="K295" s="5">
        <f>IF(J295="","",J295+4)</f>
        <v/>
      </c>
      <c r="L295" s="5">
        <f>IF(J295="","",J295+9)</f>
        <v/>
      </c>
      <c r="M295" s="5">
        <f>IF(J295="","",J295+16)</f>
        <v/>
      </c>
      <c r="N295" s="4">
        <f>IF(OR(I295="Contacted",I295="Terms sent"),IF(TODAY()&gt;=M295,"Close (step 3)",IF(TODAY()&gt;=L295,"Follow-up 2",IF(TODAY()&gt;=K295,"Follow-up 1",""))),IF(I295="Shortlisted",IF(G295="","Score it",""),""))</f>
        <v/>
      </c>
      <c r="O295" s="5" t="n"/>
      <c r="P295" s="4" t="n"/>
      <c r="Q295" s="4" t="n"/>
      <c r="R295" s="5" t="n"/>
      <c r="S295" s="4" t="n"/>
      <c r="T295" s="4" t="n"/>
      <c r="U295" s="13" t="n"/>
      <c r="V295" s="13" t="n"/>
      <c r="W295" s="13" t="n"/>
      <c r="X295" s="14" t="n"/>
      <c r="Y295" s="14" t="n"/>
      <c r="Z295" s="8" t="n"/>
    </row>
    <row r="296">
      <c r="A296" s="4" t="n"/>
      <c r="B296" s="8" t="n"/>
      <c r="C296" s="4" t="n"/>
      <c r="D296" s="4" t="n"/>
      <c r="E296" s="4" t="n"/>
      <c r="F296" s="12" t="n"/>
      <c r="G296" s="4" t="n"/>
      <c r="H296" s="4" t="n"/>
      <c r="I296" s="4" t="n"/>
      <c r="J296" s="5" t="n"/>
      <c r="K296" s="5">
        <f>IF(J296="","",J296+4)</f>
        <v/>
      </c>
      <c r="L296" s="5">
        <f>IF(J296="","",J296+9)</f>
        <v/>
      </c>
      <c r="M296" s="5">
        <f>IF(J296="","",J296+16)</f>
        <v/>
      </c>
      <c r="N296" s="4">
        <f>IF(OR(I296="Contacted",I296="Terms sent"),IF(TODAY()&gt;=M296,"Close (step 3)",IF(TODAY()&gt;=L296,"Follow-up 2",IF(TODAY()&gt;=K296,"Follow-up 1",""))),IF(I296="Shortlisted",IF(G296="","Score it",""),""))</f>
        <v/>
      </c>
      <c r="O296" s="5" t="n"/>
      <c r="P296" s="4" t="n"/>
      <c r="Q296" s="4" t="n"/>
      <c r="R296" s="5" t="n"/>
      <c r="S296" s="4" t="n"/>
      <c r="T296" s="4" t="n"/>
      <c r="U296" s="13" t="n"/>
      <c r="V296" s="13" t="n"/>
      <c r="W296" s="13" t="n"/>
      <c r="X296" s="14" t="n"/>
      <c r="Y296" s="14" t="n"/>
      <c r="Z296" s="8" t="n"/>
    </row>
    <row r="297">
      <c r="A297" s="4" t="n"/>
      <c r="B297" s="8" t="n"/>
      <c r="C297" s="4" t="n"/>
      <c r="D297" s="4" t="n"/>
      <c r="E297" s="4" t="n"/>
      <c r="F297" s="12" t="n"/>
      <c r="G297" s="4" t="n"/>
      <c r="H297" s="4" t="n"/>
      <c r="I297" s="4" t="n"/>
      <c r="J297" s="5" t="n"/>
      <c r="K297" s="5">
        <f>IF(J297="","",J297+4)</f>
        <v/>
      </c>
      <c r="L297" s="5">
        <f>IF(J297="","",J297+9)</f>
        <v/>
      </c>
      <c r="M297" s="5">
        <f>IF(J297="","",J297+16)</f>
        <v/>
      </c>
      <c r="N297" s="4">
        <f>IF(OR(I297="Contacted",I297="Terms sent"),IF(TODAY()&gt;=M297,"Close (step 3)",IF(TODAY()&gt;=L297,"Follow-up 2",IF(TODAY()&gt;=K297,"Follow-up 1",""))),IF(I297="Shortlisted",IF(G297="","Score it",""),""))</f>
        <v/>
      </c>
      <c r="O297" s="5" t="n"/>
      <c r="P297" s="4" t="n"/>
      <c r="Q297" s="4" t="n"/>
      <c r="R297" s="5" t="n"/>
      <c r="S297" s="4" t="n"/>
      <c r="T297" s="4" t="n"/>
      <c r="U297" s="13" t="n"/>
      <c r="V297" s="13" t="n"/>
      <c r="W297" s="13" t="n"/>
      <c r="X297" s="14" t="n"/>
      <c r="Y297" s="14" t="n"/>
      <c r="Z297" s="8" t="n"/>
    </row>
    <row r="298">
      <c r="A298" s="4" t="n"/>
      <c r="B298" s="8" t="n"/>
      <c r="C298" s="4" t="n"/>
      <c r="D298" s="4" t="n"/>
      <c r="E298" s="4" t="n"/>
      <c r="F298" s="12" t="n"/>
      <c r="G298" s="4" t="n"/>
      <c r="H298" s="4" t="n"/>
      <c r="I298" s="4" t="n"/>
      <c r="J298" s="5" t="n"/>
      <c r="K298" s="5">
        <f>IF(J298="","",J298+4)</f>
        <v/>
      </c>
      <c r="L298" s="5">
        <f>IF(J298="","",J298+9)</f>
        <v/>
      </c>
      <c r="M298" s="5">
        <f>IF(J298="","",J298+16)</f>
        <v/>
      </c>
      <c r="N298" s="4">
        <f>IF(OR(I298="Contacted",I298="Terms sent"),IF(TODAY()&gt;=M298,"Close (step 3)",IF(TODAY()&gt;=L298,"Follow-up 2",IF(TODAY()&gt;=K298,"Follow-up 1",""))),IF(I298="Shortlisted",IF(G298="","Score it",""),""))</f>
        <v/>
      </c>
      <c r="O298" s="5" t="n"/>
      <c r="P298" s="4" t="n"/>
      <c r="Q298" s="4" t="n"/>
      <c r="R298" s="5" t="n"/>
      <c r="S298" s="4" t="n"/>
      <c r="T298" s="4" t="n"/>
      <c r="U298" s="13" t="n"/>
      <c r="V298" s="13" t="n"/>
      <c r="W298" s="13" t="n"/>
      <c r="X298" s="14" t="n"/>
      <c r="Y298" s="14" t="n"/>
      <c r="Z298" s="8" t="n"/>
    </row>
    <row r="299">
      <c r="A299" s="4" t="n"/>
      <c r="B299" s="8" t="n"/>
      <c r="C299" s="4" t="n"/>
      <c r="D299" s="4" t="n"/>
      <c r="E299" s="4" t="n"/>
      <c r="F299" s="12" t="n"/>
      <c r="G299" s="4" t="n"/>
      <c r="H299" s="4" t="n"/>
      <c r="I299" s="4" t="n"/>
      <c r="J299" s="5" t="n"/>
      <c r="K299" s="5">
        <f>IF(J299="","",J299+4)</f>
        <v/>
      </c>
      <c r="L299" s="5">
        <f>IF(J299="","",J299+9)</f>
        <v/>
      </c>
      <c r="M299" s="5">
        <f>IF(J299="","",J299+16)</f>
        <v/>
      </c>
      <c r="N299" s="4">
        <f>IF(OR(I299="Contacted",I299="Terms sent"),IF(TODAY()&gt;=M299,"Close (step 3)",IF(TODAY()&gt;=L299,"Follow-up 2",IF(TODAY()&gt;=K299,"Follow-up 1",""))),IF(I299="Shortlisted",IF(G299="","Score it",""),""))</f>
        <v/>
      </c>
      <c r="O299" s="5" t="n"/>
      <c r="P299" s="4" t="n"/>
      <c r="Q299" s="4" t="n"/>
      <c r="R299" s="5" t="n"/>
      <c r="S299" s="4" t="n"/>
      <c r="T299" s="4" t="n"/>
      <c r="U299" s="13" t="n"/>
      <c r="V299" s="13" t="n"/>
      <c r="W299" s="13" t="n"/>
      <c r="X299" s="14" t="n"/>
      <c r="Y299" s="14" t="n"/>
      <c r="Z299" s="8" t="n"/>
    </row>
    <row r="300">
      <c r="A300" s="4" t="n"/>
      <c r="B300" s="8" t="n"/>
      <c r="C300" s="4" t="n"/>
      <c r="D300" s="4" t="n"/>
      <c r="E300" s="4" t="n"/>
      <c r="F300" s="12" t="n"/>
      <c r="G300" s="4" t="n"/>
      <c r="H300" s="4" t="n"/>
      <c r="I300" s="4" t="n"/>
      <c r="J300" s="5" t="n"/>
      <c r="K300" s="5">
        <f>IF(J300="","",J300+4)</f>
        <v/>
      </c>
      <c r="L300" s="5">
        <f>IF(J300="","",J300+9)</f>
        <v/>
      </c>
      <c r="M300" s="5">
        <f>IF(J300="","",J300+16)</f>
        <v/>
      </c>
      <c r="N300" s="4">
        <f>IF(OR(I300="Contacted",I300="Terms sent"),IF(TODAY()&gt;=M300,"Close (step 3)",IF(TODAY()&gt;=L300,"Follow-up 2",IF(TODAY()&gt;=K300,"Follow-up 1",""))),IF(I300="Shortlisted",IF(G300="","Score it",""),""))</f>
        <v/>
      </c>
      <c r="O300" s="5" t="n"/>
      <c r="P300" s="4" t="n"/>
      <c r="Q300" s="4" t="n"/>
      <c r="R300" s="5" t="n"/>
      <c r="S300" s="4" t="n"/>
      <c r="T300" s="4" t="n"/>
      <c r="U300" s="13" t="n"/>
      <c r="V300" s="13" t="n"/>
      <c r="W300" s="13" t="n"/>
      <c r="X300" s="14" t="n"/>
      <c r="Y300" s="14" t="n"/>
      <c r="Z300" s="8" t="n"/>
    </row>
    <row r="301">
      <c r="A301" s="4" t="n"/>
      <c r="B301" s="8" t="n"/>
      <c r="C301" s="4" t="n"/>
      <c r="D301" s="4" t="n"/>
      <c r="E301" s="4" t="n"/>
      <c r="F301" s="12" t="n"/>
      <c r="G301" s="4" t="n"/>
      <c r="H301" s="4" t="n"/>
      <c r="I301" s="4" t="n"/>
      <c r="J301" s="5" t="n"/>
      <c r="K301" s="5">
        <f>IF(J301="","",J301+4)</f>
        <v/>
      </c>
      <c r="L301" s="5">
        <f>IF(J301="","",J301+9)</f>
        <v/>
      </c>
      <c r="M301" s="5">
        <f>IF(J301="","",J301+16)</f>
        <v/>
      </c>
      <c r="N301" s="4">
        <f>IF(OR(I301="Contacted",I301="Terms sent"),IF(TODAY()&gt;=M301,"Close (step 3)",IF(TODAY()&gt;=L301,"Follow-up 2",IF(TODAY()&gt;=K301,"Follow-up 1",""))),IF(I301="Shortlisted",IF(G301="","Score it",""),""))</f>
        <v/>
      </c>
      <c r="O301" s="5" t="n"/>
      <c r="P301" s="4" t="n"/>
      <c r="Q301" s="4" t="n"/>
      <c r="R301" s="5" t="n"/>
      <c r="S301" s="4" t="n"/>
      <c r="T301" s="4" t="n"/>
      <c r="U301" s="13" t="n"/>
      <c r="V301" s="13" t="n"/>
      <c r="W301" s="13" t="n"/>
      <c r="X301" s="14" t="n"/>
      <c r="Y301" s="14" t="n"/>
      <c r="Z301" s="8" t="n"/>
    </row>
    <row r="302">
      <c r="A302" s="4" t="n"/>
      <c r="B302" s="8" t="n"/>
      <c r="C302" s="4" t="n"/>
      <c r="D302" s="4" t="n"/>
      <c r="E302" s="4" t="n"/>
      <c r="F302" s="12" t="n"/>
      <c r="G302" s="4" t="n"/>
      <c r="H302" s="4" t="n"/>
      <c r="I302" s="4" t="n"/>
      <c r="J302" s="5" t="n"/>
      <c r="K302" s="5">
        <f>IF(J302="","",J302+4)</f>
        <v/>
      </c>
      <c r="L302" s="5">
        <f>IF(J302="","",J302+9)</f>
        <v/>
      </c>
      <c r="M302" s="5">
        <f>IF(J302="","",J302+16)</f>
        <v/>
      </c>
      <c r="N302" s="4">
        <f>IF(OR(I302="Contacted",I302="Terms sent"),IF(TODAY()&gt;=M302,"Close (step 3)",IF(TODAY()&gt;=L302,"Follow-up 2",IF(TODAY()&gt;=K302,"Follow-up 1",""))),IF(I302="Shortlisted",IF(G302="","Score it",""),""))</f>
        <v/>
      </c>
      <c r="O302" s="5" t="n"/>
      <c r="P302" s="4" t="n"/>
      <c r="Q302" s="4" t="n"/>
      <c r="R302" s="5" t="n"/>
      <c r="S302" s="4" t="n"/>
      <c r="T302" s="4" t="n"/>
      <c r="U302" s="13" t="n"/>
      <c r="V302" s="13" t="n"/>
      <c r="W302" s="13" t="n"/>
      <c r="X302" s="14" t="n"/>
      <c r="Y302" s="14" t="n"/>
      <c r="Z302" s="8" t="n"/>
    </row>
    <row r="303">
      <c r="A303" s="4" t="n"/>
      <c r="B303" s="8" t="n"/>
      <c r="C303" s="4" t="n"/>
      <c r="D303" s="4" t="n"/>
      <c r="E303" s="4" t="n"/>
      <c r="F303" s="12" t="n"/>
      <c r="G303" s="4" t="n"/>
      <c r="H303" s="4" t="n"/>
      <c r="I303" s="4" t="n"/>
      <c r="J303" s="5" t="n"/>
      <c r="K303" s="5">
        <f>IF(J303="","",J303+4)</f>
        <v/>
      </c>
      <c r="L303" s="5">
        <f>IF(J303="","",J303+9)</f>
        <v/>
      </c>
      <c r="M303" s="5">
        <f>IF(J303="","",J303+16)</f>
        <v/>
      </c>
      <c r="N303" s="4">
        <f>IF(OR(I303="Contacted",I303="Terms sent"),IF(TODAY()&gt;=M303,"Close (step 3)",IF(TODAY()&gt;=L303,"Follow-up 2",IF(TODAY()&gt;=K303,"Follow-up 1",""))),IF(I303="Shortlisted",IF(G303="","Score it",""),""))</f>
        <v/>
      </c>
      <c r="O303" s="5" t="n"/>
      <c r="P303" s="4" t="n"/>
      <c r="Q303" s="4" t="n"/>
      <c r="R303" s="5" t="n"/>
      <c r="S303" s="4" t="n"/>
      <c r="T303" s="4" t="n"/>
      <c r="U303" s="13" t="n"/>
      <c r="V303" s="13" t="n"/>
      <c r="W303" s="13" t="n"/>
      <c r="X303" s="14" t="n"/>
      <c r="Y303" s="14" t="n"/>
      <c r="Z303" s="8" t="n"/>
    </row>
    <row r="304">
      <c r="A304" s="4" t="n"/>
      <c r="B304" s="8" t="n"/>
      <c r="C304" s="4" t="n"/>
      <c r="D304" s="4" t="n"/>
      <c r="E304" s="4" t="n"/>
      <c r="F304" s="12" t="n"/>
      <c r="G304" s="4" t="n"/>
      <c r="H304" s="4" t="n"/>
      <c r="I304" s="4" t="n"/>
      <c r="J304" s="5" t="n"/>
      <c r="K304" s="5">
        <f>IF(J304="","",J304+4)</f>
        <v/>
      </c>
      <c r="L304" s="5">
        <f>IF(J304="","",J304+9)</f>
        <v/>
      </c>
      <c r="M304" s="5">
        <f>IF(J304="","",J304+16)</f>
        <v/>
      </c>
      <c r="N304" s="4">
        <f>IF(OR(I304="Contacted",I304="Terms sent"),IF(TODAY()&gt;=M304,"Close (step 3)",IF(TODAY()&gt;=L304,"Follow-up 2",IF(TODAY()&gt;=K304,"Follow-up 1",""))),IF(I304="Shortlisted",IF(G304="","Score it",""),""))</f>
        <v/>
      </c>
      <c r="O304" s="5" t="n"/>
      <c r="P304" s="4" t="n"/>
      <c r="Q304" s="4" t="n"/>
      <c r="R304" s="5" t="n"/>
      <c r="S304" s="4" t="n"/>
      <c r="T304" s="4" t="n"/>
      <c r="U304" s="13" t="n"/>
      <c r="V304" s="13" t="n"/>
      <c r="W304" s="13" t="n"/>
      <c r="X304" s="14" t="n"/>
      <c r="Y304" s="14" t="n"/>
      <c r="Z304" s="8" t="n"/>
    </row>
    <row r="305">
      <c r="A305" s="4" t="n"/>
      <c r="B305" s="8" t="n"/>
      <c r="C305" s="4" t="n"/>
      <c r="D305" s="4" t="n"/>
      <c r="E305" s="4" t="n"/>
      <c r="F305" s="12" t="n"/>
      <c r="G305" s="4" t="n"/>
      <c r="H305" s="4" t="n"/>
      <c r="I305" s="4" t="n"/>
      <c r="J305" s="5" t="n"/>
      <c r="K305" s="5">
        <f>IF(J305="","",J305+4)</f>
        <v/>
      </c>
      <c r="L305" s="5">
        <f>IF(J305="","",J305+9)</f>
        <v/>
      </c>
      <c r="M305" s="5">
        <f>IF(J305="","",J305+16)</f>
        <v/>
      </c>
      <c r="N305" s="4">
        <f>IF(OR(I305="Contacted",I305="Terms sent"),IF(TODAY()&gt;=M305,"Close (step 3)",IF(TODAY()&gt;=L305,"Follow-up 2",IF(TODAY()&gt;=K305,"Follow-up 1",""))),IF(I305="Shortlisted",IF(G305="","Score it",""),""))</f>
        <v/>
      </c>
      <c r="O305" s="5" t="n"/>
      <c r="P305" s="4" t="n"/>
      <c r="Q305" s="4" t="n"/>
      <c r="R305" s="5" t="n"/>
      <c r="S305" s="4" t="n"/>
      <c r="T305" s="4" t="n"/>
      <c r="U305" s="13" t="n"/>
      <c r="V305" s="13" t="n"/>
      <c r="W305" s="13" t="n"/>
      <c r="X305" s="14" t="n"/>
      <c r="Y305" s="14" t="n"/>
      <c r="Z305" s="8" t="n"/>
    </row>
    <row r="306">
      <c r="A306" s="4" t="n"/>
      <c r="B306" s="8" t="n"/>
      <c r="C306" s="4" t="n"/>
      <c r="D306" s="4" t="n"/>
      <c r="E306" s="4" t="n"/>
      <c r="F306" s="12" t="n"/>
      <c r="G306" s="4" t="n"/>
      <c r="H306" s="4" t="n"/>
      <c r="I306" s="4" t="n"/>
      <c r="J306" s="5" t="n"/>
      <c r="K306" s="5">
        <f>IF(J306="","",J306+4)</f>
        <v/>
      </c>
      <c r="L306" s="5">
        <f>IF(J306="","",J306+9)</f>
        <v/>
      </c>
      <c r="M306" s="5">
        <f>IF(J306="","",J306+16)</f>
        <v/>
      </c>
      <c r="N306" s="4">
        <f>IF(OR(I306="Contacted",I306="Terms sent"),IF(TODAY()&gt;=M306,"Close (step 3)",IF(TODAY()&gt;=L306,"Follow-up 2",IF(TODAY()&gt;=K306,"Follow-up 1",""))),IF(I306="Shortlisted",IF(G306="","Score it",""),""))</f>
        <v/>
      </c>
      <c r="O306" s="5" t="n"/>
      <c r="P306" s="4" t="n"/>
      <c r="Q306" s="4" t="n"/>
      <c r="R306" s="5" t="n"/>
      <c r="S306" s="4" t="n"/>
      <c r="T306" s="4" t="n"/>
      <c r="U306" s="13" t="n"/>
      <c r="V306" s="13" t="n"/>
      <c r="W306" s="13" t="n"/>
      <c r="X306" s="14" t="n"/>
      <c r="Y306" s="14" t="n"/>
      <c r="Z306" s="8" t="n"/>
    </row>
    <row r="307">
      <c r="A307" s="4" t="n"/>
      <c r="B307" s="8" t="n"/>
      <c r="C307" s="4" t="n"/>
      <c r="D307" s="4" t="n"/>
      <c r="E307" s="4" t="n"/>
      <c r="F307" s="12" t="n"/>
      <c r="G307" s="4" t="n"/>
      <c r="H307" s="4" t="n"/>
      <c r="I307" s="4" t="n"/>
      <c r="J307" s="5" t="n"/>
      <c r="K307" s="5">
        <f>IF(J307="","",J307+4)</f>
        <v/>
      </c>
      <c r="L307" s="5">
        <f>IF(J307="","",J307+9)</f>
        <v/>
      </c>
      <c r="M307" s="5">
        <f>IF(J307="","",J307+16)</f>
        <v/>
      </c>
      <c r="N307" s="4">
        <f>IF(OR(I307="Contacted",I307="Terms sent"),IF(TODAY()&gt;=M307,"Close (step 3)",IF(TODAY()&gt;=L307,"Follow-up 2",IF(TODAY()&gt;=K307,"Follow-up 1",""))),IF(I307="Shortlisted",IF(G307="","Score it",""),""))</f>
        <v/>
      </c>
      <c r="O307" s="5" t="n"/>
      <c r="P307" s="4" t="n"/>
      <c r="Q307" s="4" t="n"/>
      <c r="R307" s="5" t="n"/>
      <c r="S307" s="4" t="n"/>
      <c r="T307" s="4" t="n"/>
      <c r="U307" s="13" t="n"/>
      <c r="V307" s="13" t="n"/>
      <c r="W307" s="13" t="n"/>
      <c r="X307" s="14" t="n"/>
      <c r="Y307" s="14" t="n"/>
      <c r="Z307" s="8" t="n"/>
    </row>
    <row r="308">
      <c r="A308" s="4" t="n"/>
      <c r="B308" s="8" t="n"/>
      <c r="C308" s="4" t="n"/>
      <c r="D308" s="4" t="n"/>
      <c r="E308" s="4" t="n"/>
      <c r="F308" s="12" t="n"/>
      <c r="G308" s="4" t="n"/>
      <c r="H308" s="4" t="n"/>
      <c r="I308" s="4" t="n"/>
      <c r="J308" s="5" t="n"/>
      <c r="K308" s="5">
        <f>IF(J308="","",J308+4)</f>
        <v/>
      </c>
      <c r="L308" s="5">
        <f>IF(J308="","",J308+9)</f>
        <v/>
      </c>
      <c r="M308" s="5">
        <f>IF(J308="","",J308+16)</f>
        <v/>
      </c>
      <c r="N308" s="4">
        <f>IF(OR(I308="Contacted",I308="Terms sent"),IF(TODAY()&gt;=M308,"Close (step 3)",IF(TODAY()&gt;=L308,"Follow-up 2",IF(TODAY()&gt;=K308,"Follow-up 1",""))),IF(I308="Shortlisted",IF(G308="","Score it",""),""))</f>
        <v/>
      </c>
      <c r="O308" s="5" t="n"/>
      <c r="P308" s="4" t="n"/>
      <c r="Q308" s="4" t="n"/>
      <c r="R308" s="5" t="n"/>
      <c r="S308" s="4" t="n"/>
      <c r="T308" s="4" t="n"/>
      <c r="U308" s="13" t="n"/>
      <c r="V308" s="13" t="n"/>
      <c r="W308" s="13" t="n"/>
      <c r="X308" s="14" t="n"/>
      <c r="Y308" s="14" t="n"/>
      <c r="Z308" s="8" t="n"/>
    </row>
    <row r="309">
      <c r="A309" s="4" t="n"/>
      <c r="B309" s="8" t="n"/>
      <c r="C309" s="4" t="n"/>
      <c r="D309" s="4" t="n"/>
      <c r="E309" s="4" t="n"/>
      <c r="F309" s="12" t="n"/>
      <c r="G309" s="4" t="n"/>
      <c r="H309" s="4" t="n"/>
      <c r="I309" s="4" t="n"/>
      <c r="J309" s="5" t="n"/>
      <c r="K309" s="5">
        <f>IF(J309="","",J309+4)</f>
        <v/>
      </c>
      <c r="L309" s="5">
        <f>IF(J309="","",J309+9)</f>
        <v/>
      </c>
      <c r="M309" s="5">
        <f>IF(J309="","",J309+16)</f>
        <v/>
      </c>
      <c r="N309" s="4">
        <f>IF(OR(I309="Contacted",I309="Terms sent"),IF(TODAY()&gt;=M309,"Close (step 3)",IF(TODAY()&gt;=L309,"Follow-up 2",IF(TODAY()&gt;=K309,"Follow-up 1",""))),IF(I309="Shortlisted",IF(G309="","Score it",""),""))</f>
        <v/>
      </c>
      <c r="O309" s="5" t="n"/>
      <c r="P309" s="4" t="n"/>
      <c r="Q309" s="4" t="n"/>
      <c r="R309" s="5" t="n"/>
      <c r="S309" s="4" t="n"/>
      <c r="T309" s="4" t="n"/>
      <c r="U309" s="13" t="n"/>
      <c r="V309" s="13" t="n"/>
      <c r="W309" s="13" t="n"/>
      <c r="X309" s="14" t="n"/>
      <c r="Y309" s="14" t="n"/>
      <c r="Z309" s="8" t="n"/>
    </row>
    <row r="310">
      <c r="A310" s="4" t="n"/>
      <c r="B310" s="8" t="n"/>
      <c r="C310" s="4" t="n"/>
      <c r="D310" s="4" t="n"/>
      <c r="E310" s="4" t="n"/>
      <c r="F310" s="12" t="n"/>
      <c r="G310" s="4" t="n"/>
      <c r="H310" s="4" t="n"/>
      <c r="I310" s="4" t="n"/>
      <c r="J310" s="5" t="n"/>
      <c r="K310" s="5">
        <f>IF(J310="","",J310+4)</f>
        <v/>
      </c>
      <c r="L310" s="5">
        <f>IF(J310="","",J310+9)</f>
        <v/>
      </c>
      <c r="M310" s="5">
        <f>IF(J310="","",J310+16)</f>
        <v/>
      </c>
      <c r="N310" s="4">
        <f>IF(OR(I310="Contacted",I310="Terms sent"),IF(TODAY()&gt;=M310,"Close (step 3)",IF(TODAY()&gt;=L310,"Follow-up 2",IF(TODAY()&gt;=K310,"Follow-up 1",""))),IF(I310="Shortlisted",IF(G310="","Score it",""),""))</f>
        <v/>
      </c>
      <c r="O310" s="5" t="n"/>
      <c r="P310" s="4" t="n"/>
      <c r="Q310" s="4" t="n"/>
      <c r="R310" s="5" t="n"/>
      <c r="S310" s="4" t="n"/>
      <c r="T310" s="4" t="n"/>
      <c r="U310" s="13" t="n"/>
      <c r="V310" s="13" t="n"/>
      <c r="W310" s="13" t="n"/>
      <c r="X310" s="14" t="n"/>
      <c r="Y310" s="14" t="n"/>
      <c r="Z310" s="8" t="n"/>
    </row>
    <row r="311">
      <c r="A311" s="4" t="n"/>
      <c r="B311" s="8" t="n"/>
      <c r="C311" s="4" t="n"/>
      <c r="D311" s="4" t="n"/>
      <c r="E311" s="4" t="n"/>
      <c r="F311" s="12" t="n"/>
      <c r="G311" s="4" t="n"/>
      <c r="H311" s="4" t="n"/>
      <c r="I311" s="4" t="n"/>
      <c r="J311" s="5" t="n"/>
      <c r="K311" s="5">
        <f>IF(J311="","",J311+4)</f>
        <v/>
      </c>
      <c r="L311" s="5">
        <f>IF(J311="","",J311+9)</f>
        <v/>
      </c>
      <c r="M311" s="5">
        <f>IF(J311="","",J311+16)</f>
        <v/>
      </c>
      <c r="N311" s="4">
        <f>IF(OR(I311="Contacted",I311="Terms sent"),IF(TODAY()&gt;=M311,"Close (step 3)",IF(TODAY()&gt;=L311,"Follow-up 2",IF(TODAY()&gt;=K311,"Follow-up 1",""))),IF(I311="Shortlisted",IF(G311="","Score it",""),""))</f>
        <v/>
      </c>
      <c r="O311" s="5" t="n"/>
      <c r="P311" s="4" t="n"/>
      <c r="Q311" s="4" t="n"/>
      <c r="R311" s="5" t="n"/>
      <c r="S311" s="4" t="n"/>
      <c r="T311" s="4" t="n"/>
      <c r="U311" s="13" t="n"/>
      <c r="V311" s="13" t="n"/>
      <c r="W311" s="13" t="n"/>
      <c r="X311" s="14" t="n"/>
      <c r="Y311" s="14" t="n"/>
      <c r="Z311" s="8" t="n"/>
    </row>
    <row r="312">
      <c r="A312" s="4" t="n"/>
      <c r="B312" s="8" t="n"/>
      <c r="C312" s="4" t="n"/>
      <c r="D312" s="4" t="n"/>
      <c r="E312" s="4" t="n"/>
      <c r="F312" s="12" t="n"/>
      <c r="G312" s="4" t="n"/>
      <c r="H312" s="4" t="n"/>
      <c r="I312" s="4" t="n"/>
      <c r="J312" s="5" t="n"/>
      <c r="K312" s="5">
        <f>IF(J312="","",J312+4)</f>
        <v/>
      </c>
      <c r="L312" s="5">
        <f>IF(J312="","",J312+9)</f>
        <v/>
      </c>
      <c r="M312" s="5">
        <f>IF(J312="","",J312+16)</f>
        <v/>
      </c>
      <c r="N312" s="4">
        <f>IF(OR(I312="Contacted",I312="Terms sent"),IF(TODAY()&gt;=M312,"Close (step 3)",IF(TODAY()&gt;=L312,"Follow-up 2",IF(TODAY()&gt;=K312,"Follow-up 1",""))),IF(I312="Shortlisted",IF(G312="","Score it",""),""))</f>
        <v/>
      </c>
      <c r="O312" s="5" t="n"/>
      <c r="P312" s="4" t="n"/>
      <c r="Q312" s="4" t="n"/>
      <c r="R312" s="5" t="n"/>
      <c r="S312" s="4" t="n"/>
      <c r="T312" s="4" t="n"/>
      <c r="U312" s="13" t="n"/>
      <c r="V312" s="13" t="n"/>
      <c r="W312" s="13" t="n"/>
      <c r="X312" s="14" t="n"/>
      <c r="Y312" s="14" t="n"/>
      <c r="Z312" s="8" t="n"/>
    </row>
    <row r="313">
      <c r="A313" s="4" t="n"/>
      <c r="B313" s="8" t="n"/>
      <c r="C313" s="4" t="n"/>
      <c r="D313" s="4" t="n"/>
      <c r="E313" s="4" t="n"/>
      <c r="F313" s="12" t="n"/>
      <c r="G313" s="4" t="n"/>
      <c r="H313" s="4" t="n"/>
      <c r="I313" s="4" t="n"/>
      <c r="J313" s="5" t="n"/>
      <c r="K313" s="5">
        <f>IF(J313="","",J313+4)</f>
        <v/>
      </c>
      <c r="L313" s="5">
        <f>IF(J313="","",J313+9)</f>
        <v/>
      </c>
      <c r="M313" s="5">
        <f>IF(J313="","",J313+16)</f>
        <v/>
      </c>
      <c r="N313" s="4">
        <f>IF(OR(I313="Contacted",I313="Terms sent"),IF(TODAY()&gt;=M313,"Close (step 3)",IF(TODAY()&gt;=L313,"Follow-up 2",IF(TODAY()&gt;=K313,"Follow-up 1",""))),IF(I313="Shortlisted",IF(G313="","Score it",""),""))</f>
        <v/>
      </c>
      <c r="O313" s="5" t="n"/>
      <c r="P313" s="4" t="n"/>
      <c r="Q313" s="4" t="n"/>
      <c r="R313" s="5" t="n"/>
      <c r="S313" s="4" t="n"/>
      <c r="T313" s="4" t="n"/>
      <c r="U313" s="13" t="n"/>
      <c r="V313" s="13" t="n"/>
      <c r="W313" s="13" t="n"/>
      <c r="X313" s="14" t="n"/>
      <c r="Y313" s="14" t="n"/>
      <c r="Z313" s="8" t="n"/>
    </row>
    <row r="314">
      <c r="A314" s="4" t="n"/>
      <c r="B314" s="8" t="n"/>
      <c r="C314" s="4" t="n"/>
      <c r="D314" s="4" t="n"/>
      <c r="E314" s="4" t="n"/>
      <c r="F314" s="12" t="n"/>
      <c r="G314" s="4" t="n"/>
      <c r="H314" s="4" t="n"/>
      <c r="I314" s="4" t="n"/>
      <c r="J314" s="5" t="n"/>
      <c r="K314" s="5">
        <f>IF(J314="","",J314+4)</f>
        <v/>
      </c>
      <c r="L314" s="5">
        <f>IF(J314="","",J314+9)</f>
        <v/>
      </c>
      <c r="M314" s="5">
        <f>IF(J314="","",J314+16)</f>
        <v/>
      </c>
      <c r="N314" s="4">
        <f>IF(OR(I314="Contacted",I314="Terms sent"),IF(TODAY()&gt;=M314,"Close (step 3)",IF(TODAY()&gt;=L314,"Follow-up 2",IF(TODAY()&gt;=K314,"Follow-up 1",""))),IF(I314="Shortlisted",IF(G314="","Score it",""),""))</f>
        <v/>
      </c>
      <c r="O314" s="5" t="n"/>
      <c r="P314" s="4" t="n"/>
      <c r="Q314" s="4" t="n"/>
      <c r="R314" s="5" t="n"/>
      <c r="S314" s="4" t="n"/>
      <c r="T314" s="4" t="n"/>
      <c r="U314" s="13" t="n"/>
      <c r="V314" s="13" t="n"/>
      <c r="W314" s="13" t="n"/>
      <c r="X314" s="14" t="n"/>
      <c r="Y314" s="14" t="n"/>
      <c r="Z314" s="8" t="n"/>
    </row>
    <row r="315">
      <c r="A315" s="4" t="n"/>
      <c r="B315" s="8" t="n"/>
      <c r="C315" s="4" t="n"/>
      <c r="D315" s="4" t="n"/>
      <c r="E315" s="4" t="n"/>
      <c r="F315" s="12" t="n"/>
      <c r="G315" s="4" t="n"/>
      <c r="H315" s="4" t="n"/>
      <c r="I315" s="4" t="n"/>
      <c r="J315" s="5" t="n"/>
      <c r="K315" s="5">
        <f>IF(J315="","",J315+4)</f>
        <v/>
      </c>
      <c r="L315" s="5">
        <f>IF(J315="","",J315+9)</f>
        <v/>
      </c>
      <c r="M315" s="5">
        <f>IF(J315="","",J315+16)</f>
        <v/>
      </c>
      <c r="N315" s="4">
        <f>IF(OR(I315="Contacted",I315="Terms sent"),IF(TODAY()&gt;=M315,"Close (step 3)",IF(TODAY()&gt;=L315,"Follow-up 2",IF(TODAY()&gt;=K315,"Follow-up 1",""))),IF(I315="Shortlisted",IF(G315="","Score it",""),""))</f>
        <v/>
      </c>
      <c r="O315" s="5" t="n"/>
      <c r="P315" s="4" t="n"/>
      <c r="Q315" s="4" t="n"/>
      <c r="R315" s="5" t="n"/>
      <c r="S315" s="4" t="n"/>
      <c r="T315" s="4" t="n"/>
      <c r="U315" s="13" t="n"/>
      <c r="V315" s="13" t="n"/>
      <c r="W315" s="13" t="n"/>
      <c r="X315" s="14" t="n"/>
      <c r="Y315" s="14" t="n"/>
      <c r="Z315" s="8" t="n"/>
    </row>
    <row r="316">
      <c r="A316" s="4" t="n"/>
      <c r="B316" s="8" t="n"/>
      <c r="C316" s="4" t="n"/>
      <c r="D316" s="4" t="n"/>
      <c r="E316" s="4" t="n"/>
      <c r="F316" s="12" t="n"/>
      <c r="G316" s="4" t="n"/>
      <c r="H316" s="4" t="n"/>
      <c r="I316" s="4" t="n"/>
      <c r="J316" s="5" t="n"/>
      <c r="K316" s="5">
        <f>IF(J316="","",J316+4)</f>
        <v/>
      </c>
      <c r="L316" s="5">
        <f>IF(J316="","",J316+9)</f>
        <v/>
      </c>
      <c r="M316" s="5">
        <f>IF(J316="","",J316+16)</f>
        <v/>
      </c>
      <c r="N316" s="4">
        <f>IF(OR(I316="Contacted",I316="Terms sent"),IF(TODAY()&gt;=M316,"Close (step 3)",IF(TODAY()&gt;=L316,"Follow-up 2",IF(TODAY()&gt;=K316,"Follow-up 1",""))),IF(I316="Shortlisted",IF(G316="","Score it",""),""))</f>
        <v/>
      </c>
      <c r="O316" s="5" t="n"/>
      <c r="P316" s="4" t="n"/>
      <c r="Q316" s="4" t="n"/>
      <c r="R316" s="5" t="n"/>
      <c r="S316" s="4" t="n"/>
      <c r="T316" s="4" t="n"/>
      <c r="U316" s="13" t="n"/>
      <c r="V316" s="13" t="n"/>
      <c r="W316" s="13" t="n"/>
      <c r="X316" s="14" t="n"/>
      <c r="Y316" s="14" t="n"/>
      <c r="Z316" s="8" t="n"/>
    </row>
    <row r="317">
      <c r="A317" s="4" t="n"/>
      <c r="B317" s="8" t="n"/>
      <c r="C317" s="4" t="n"/>
      <c r="D317" s="4" t="n"/>
      <c r="E317" s="4" t="n"/>
      <c r="F317" s="12" t="n"/>
      <c r="G317" s="4" t="n"/>
      <c r="H317" s="4" t="n"/>
      <c r="I317" s="4" t="n"/>
      <c r="J317" s="5" t="n"/>
      <c r="K317" s="5">
        <f>IF(J317="","",J317+4)</f>
        <v/>
      </c>
      <c r="L317" s="5">
        <f>IF(J317="","",J317+9)</f>
        <v/>
      </c>
      <c r="M317" s="5">
        <f>IF(J317="","",J317+16)</f>
        <v/>
      </c>
      <c r="N317" s="4">
        <f>IF(OR(I317="Contacted",I317="Terms sent"),IF(TODAY()&gt;=M317,"Close (step 3)",IF(TODAY()&gt;=L317,"Follow-up 2",IF(TODAY()&gt;=K317,"Follow-up 1",""))),IF(I317="Shortlisted",IF(G317="","Score it",""),""))</f>
        <v/>
      </c>
      <c r="O317" s="5" t="n"/>
      <c r="P317" s="4" t="n"/>
      <c r="Q317" s="4" t="n"/>
      <c r="R317" s="5" t="n"/>
      <c r="S317" s="4" t="n"/>
      <c r="T317" s="4" t="n"/>
      <c r="U317" s="13" t="n"/>
      <c r="V317" s="13" t="n"/>
      <c r="W317" s="13" t="n"/>
      <c r="X317" s="14" t="n"/>
      <c r="Y317" s="14" t="n"/>
      <c r="Z317" s="8" t="n"/>
    </row>
    <row r="318">
      <c r="A318" s="4" t="n"/>
      <c r="B318" s="8" t="n"/>
      <c r="C318" s="4" t="n"/>
      <c r="D318" s="4" t="n"/>
      <c r="E318" s="4" t="n"/>
      <c r="F318" s="12" t="n"/>
      <c r="G318" s="4" t="n"/>
      <c r="H318" s="4" t="n"/>
      <c r="I318" s="4" t="n"/>
      <c r="J318" s="5" t="n"/>
      <c r="K318" s="5">
        <f>IF(J318="","",J318+4)</f>
        <v/>
      </c>
      <c r="L318" s="5">
        <f>IF(J318="","",J318+9)</f>
        <v/>
      </c>
      <c r="M318" s="5">
        <f>IF(J318="","",J318+16)</f>
        <v/>
      </c>
      <c r="N318" s="4">
        <f>IF(OR(I318="Contacted",I318="Terms sent"),IF(TODAY()&gt;=M318,"Close (step 3)",IF(TODAY()&gt;=L318,"Follow-up 2",IF(TODAY()&gt;=K318,"Follow-up 1",""))),IF(I318="Shortlisted",IF(G318="","Score it",""),""))</f>
        <v/>
      </c>
      <c r="O318" s="5" t="n"/>
      <c r="P318" s="4" t="n"/>
      <c r="Q318" s="4" t="n"/>
      <c r="R318" s="5" t="n"/>
      <c r="S318" s="4" t="n"/>
      <c r="T318" s="4" t="n"/>
      <c r="U318" s="13" t="n"/>
      <c r="V318" s="13" t="n"/>
      <c r="W318" s="13" t="n"/>
      <c r="X318" s="14" t="n"/>
      <c r="Y318" s="14" t="n"/>
      <c r="Z318" s="8" t="n"/>
    </row>
    <row r="319">
      <c r="A319" s="4" t="n"/>
      <c r="B319" s="8" t="n"/>
      <c r="C319" s="4" t="n"/>
      <c r="D319" s="4" t="n"/>
      <c r="E319" s="4" t="n"/>
      <c r="F319" s="12" t="n"/>
      <c r="G319" s="4" t="n"/>
      <c r="H319" s="4" t="n"/>
      <c r="I319" s="4" t="n"/>
      <c r="J319" s="5" t="n"/>
      <c r="K319" s="5">
        <f>IF(J319="","",J319+4)</f>
        <v/>
      </c>
      <c r="L319" s="5">
        <f>IF(J319="","",J319+9)</f>
        <v/>
      </c>
      <c r="M319" s="5">
        <f>IF(J319="","",J319+16)</f>
        <v/>
      </c>
      <c r="N319" s="4">
        <f>IF(OR(I319="Contacted",I319="Terms sent"),IF(TODAY()&gt;=M319,"Close (step 3)",IF(TODAY()&gt;=L319,"Follow-up 2",IF(TODAY()&gt;=K319,"Follow-up 1",""))),IF(I319="Shortlisted",IF(G319="","Score it",""),""))</f>
        <v/>
      </c>
      <c r="O319" s="5" t="n"/>
      <c r="P319" s="4" t="n"/>
      <c r="Q319" s="4" t="n"/>
      <c r="R319" s="5" t="n"/>
      <c r="S319" s="4" t="n"/>
      <c r="T319" s="4" t="n"/>
      <c r="U319" s="13" t="n"/>
      <c r="V319" s="13" t="n"/>
      <c r="W319" s="13" t="n"/>
      <c r="X319" s="14" t="n"/>
      <c r="Y319" s="14" t="n"/>
      <c r="Z319" s="8" t="n"/>
    </row>
    <row r="320">
      <c r="A320" s="4" t="n"/>
      <c r="B320" s="8" t="n"/>
      <c r="C320" s="4" t="n"/>
      <c r="D320" s="4" t="n"/>
      <c r="E320" s="4" t="n"/>
      <c r="F320" s="12" t="n"/>
      <c r="G320" s="4" t="n"/>
      <c r="H320" s="4" t="n"/>
      <c r="I320" s="4" t="n"/>
      <c r="J320" s="5" t="n"/>
      <c r="K320" s="5">
        <f>IF(J320="","",J320+4)</f>
        <v/>
      </c>
      <c r="L320" s="5">
        <f>IF(J320="","",J320+9)</f>
        <v/>
      </c>
      <c r="M320" s="5">
        <f>IF(J320="","",J320+16)</f>
        <v/>
      </c>
      <c r="N320" s="4">
        <f>IF(OR(I320="Contacted",I320="Terms sent"),IF(TODAY()&gt;=M320,"Close (step 3)",IF(TODAY()&gt;=L320,"Follow-up 2",IF(TODAY()&gt;=K320,"Follow-up 1",""))),IF(I320="Shortlisted",IF(G320="","Score it",""),""))</f>
        <v/>
      </c>
      <c r="O320" s="5" t="n"/>
      <c r="P320" s="4" t="n"/>
      <c r="Q320" s="4" t="n"/>
      <c r="R320" s="5" t="n"/>
      <c r="S320" s="4" t="n"/>
      <c r="T320" s="4" t="n"/>
      <c r="U320" s="13" t="n"/>
      <c r="V320" s="13" t="n"/>
      <c r="W320" s="13" t="n"/>
      <c r="X320" s="14" t="n"/>
      <c r="Y320" s="14" t="n"/>
      <c r="Z320" s="8" t="n"/>
    </row>
    <row r="321">
      <c r="A321" s="4" t="n"/>
      <c r="B321" s="8" t="n"/>
      <c r="C321" s="4" t="n"/>
      <c r="D321" s="4" t="n"/>
      <c r="E321" s="4" t="n"/>
      <c r="F321" s="12" t="n"/>
      <c r="G321" s="4" t="n"/>
      <c r="H321" s="4" t="n"/>
      <c r="I321" s="4" t="n"/>
      <c r="J321" s="5" t="n"/>
      <c r="K321" s="5">
        <f>IF(J321="","",J321+4)</f>
        <v/>
      </c>
      <c r="L321" s="5">
        <f>IF(J321="","",J321+9)</f>
        <v/>
      </c>
      <c r="M321" s="5">
        <f>IF(J321="","",J321+16)</f>
        <v/>
      </c>
      <c r="N321" s="4">
        <f>IF(OR(I321="Contacted",I321="Terms sent"),IF(TODAY()&gt;=M321,"Close (step 3)",IF(TODAY()&gt;=L321,"Follow-up 2",IF(TODAY()&gt;=K321,"Follow-up 1",""))),IF(I321="Shortlisted",IF(G321="","Score it",""),""))</f>
        <v/>
      </c>
      <c r="O321" s="5" t="n"/>
      <c r="P321" s="4" t="n"/>
      <c r="Q321" s="4" t="n"/>
      <c r="R321" s="5" t="n"/>
      <c r="S321" s="4" t="n"/>
      <c r="T321" s="4" t="n"/>
      <c r="U321" s="13" t="n"/>
      <c r="V321" s="13" t="n"/>
      <c r="W321" s="13" t="n"/>
      <c r="X321" s="14" t="n"/>
      <c r="Y321" s="14" t="n"/>
      <c r="Z321" s="8" t="n"/>
    </row>
    <row r="322">
      <c r="A322" s="4" t="n"/>
      <c r="B322" s="8" t="n"/>
      <c r="C322" s="4" t="n"/>
      <c r="D322" s="4" t="n"/>
      <c r="E322" s="4" t="n"/>
      <c r="F322" s="12" t="n"/>
      <c r="G322" s="4" t="n"/>
      <c r="H322" s="4" t="n"/>
      <c r="I322" s="4" t="n"/>
      <c r="J322" s="5" t="n"/>
      <c r="K322" s="5">
        <f>IF(J322="","",J322+4)</f>
        <v/>
      </c>
      <c r="L322" s="5">
        <f>IF(J322="","",J322+9)</f>
        <v/>
      </c>
      <c r="M322" s="5">
        <f>IF(J322="","",J322+16)</f>
        <v/>
      </c>
      <c r="N322" s="4">
        <f>IF(OR(I322="Contacted",I322="Terms sent"),IF(TODAY()&gt;=M322,"Close (step 3)",IF(TODAY()&gt;=L322,"Follow-up 2",IF(TODAY()&gt;=K322,"Follow-up 1",""))),IF(I322="Shortlisted",IF(G322="","Score it",""),""))</f>
        <v/>
      </c>
      <c r="O322" s="5" t="n"/>
      <c r="P322" s="4" t="n"/>
      <c r="Q322" s="4" t="n"/>
      <c r="R322" s="5" t="n"/>
      <c r="S322" s="4" t="n"/>
      <c r="T322" s="4" t="n"/>
      <c r="U322" s="13" t="n"/>
      <c r="V322" s="13" t="n"/>
      <c r="W322" s="13" t="n"/>
      <c r="X322" s="14" t="n"/>
      <c r="Y322" s="14" t="n"/>
      <c r="Z322" s="8" t="n"/>
    </row>
    <row r="323">
      <c r="A323" s="4" t="n"/>
      <c r="B323" s="8" t="n"/>
      <c r="C323" s="4" t="n"/>
      <c r="D323" s="4" t="n"/>
      <c r="E323" s="4" t="n"/>
      <c r="F323" s="12" t="n"/>
      <c r="G323" s="4" t="n"/>
      <c r="H323" s="4" t="n"/>
      <c r="I323" s="4" t="n"/>
      <c r="J323" s="5" t="n"/>
      <c r="K323" s="5">
        <f>IF(J323="","",J323+4)</f>
        <v/>
      </c>
      <c r="L323" s="5">
        <f>IF(J323="","",J323+9)</f>
        <v/>
      </c>
      <c r="M323" s="5">
        <f>IF(J323="","",J323+16)</f>
        <v/>
      </c>
      <c r="N323" s="4">
        <f>IF(OR(I323="Contacted",I323="Terms sent"),IF(TODAY()&gt;=M323,"Close (step 3)",IF(TODAY()&gt;=L323,"Follow-up 2",IF(TODAY()&gt;=K323,"Follow-up 1",""))),IF(I323="Shortlisted",IF(G323="","Score it",""),""))</f>
        <v/>
      </c>
      <c r="O323" s="5" t="n"/>
      <c r="P323" s="4" t="n"/>
      <c r="Q323" s="4" t="n"/>
      <c r="R323" s="5" t="n"/>
      <c r="S323" s="4" t="n"/>
      <c r="T323" s="4" t="n"/>
      <c r="U323" s="13" t="n"/>
      <c r="V323" s="13" t="n"/>
      <c r="W323" s="13" t="n"/>
      <c r="X323" s="14" t="n"/>
      <c r="Y323" s="14" t="n"/>
      <c r="Z323" s="8" t="n"/>
    </row>
    <row r="324">
      <c r="A324" s="4" t="n"/>
      <c r="B324" s="8" t="n"/>
      <c r="C324" s="4" t="n"/>
      <c r="D324" s="4" t="n"/>
      <c r="E324" s="4" t="n"/>
      <c r="F324" s="12" t="n"/>
      <c r="G324" s="4" t="n"/>
      <c r="H324" s="4" t="n"/>
      <c r="I324" s="4" t="n"/>
      <c r="J324" s="5" t="n"/>
      <c r="K324" s="5">
        <f>IF(J324="","",J324+4)</f>
        <v/>
      </c>
      <c r="L324" s="5">
        <f>IF(J324="","",J324+9)</f>
        <v/>
      </c>
      <c r="M324" s="5">
        <f>IF(J324="","",J324+16)</f>
        <v/>
      </c>
      <c r="N324" s="4">
        <f>IF(OR(I324="Contacted",I324="Terms sent"),IF(TODAY()&gt;=M324,"Close (step 3)",IF(TODAY()&gt;=L324,"Follow-up 2",IF(TODAY()&gt;=K324,"Follow-up 1",""))),IF(I324="Shortlisted",IF(G324="","Score it",""),""))</f>
        <v/>
      </c>
      <c r="O324" s="5" t="n"/>
      <c r="P324" s="4" t="n"/>
      <c r="Q324" s="4" t="n"/>
      <c r="R324" s="5" t="n"/>
      <c r="S324" s="4" t="n"/>
      <c r="T324" s="4" t="n"/>
      <c r="U324" s="13" t="n"/>
      <c r="V324" s="13" t="n"/>
      <c r="W324" s="13" t="n"/>
      <c r="X324" s="14" t="n"/>
      <c r="Y324" s="14" t="n"/>
      <c r="Z324" s="8" t="n"/>
    </row>
    <row r="325">
      <c r="A325" s="4" t="n"/>
      <c r="B325" s="8" t="n"/>
      <c r="C325" s="4" t="n"/>
      <c r="D325" s="4" t="n"/>
      <c r="E325" s="4" t="n"/>
      <c r="F325" s="12" t="n"/>
      <c r="G325" s="4" t="n"/>
      <c r="H325" s="4" t="n"/>
      <c r="I325" s="4" t="n"/>
      <c r="J325" s="5" t="n"/>
      <c r="K325" s="5">
        <f>IF(J325="","",J325+4)</f>
        <v/>
      </c>
      <c r="L325" s="5">
        <f>IF(J325="","",J325+9)</f>
        <v/>
      </c>
      <c r="M325" s="5">
        <f>IF(J325="","",J325+16)</f>
        <v/>
      </c>
      <c r="N325" s="4">
        <f>IF(OR(I325="Contacted",I325="Terms sent"),IF(TODAY()&gt;=M325,"Close (step 3)",IF(TODAY()&gt;=L325,"Follow-up 2",IF(TODAY()&gt;=K325,"Follow-up 1",""))),IF(I325="Shortlisted",IF(G325="","Score it",""),""))</f>
        <v/>
      </c>
      <c r="O325" s="5" t="n"/>
      <c r="P325" s="4" t="n"/>
      <c r="Q325" s="4" t="n"/>
      <c r="R325" s="5" t="n"/>
      <c r="S325" s="4" t="n"/>
      <c r="T325" s="4" t="n"/>
      <c r="U325" s="13" t="n"/>
      <c r="V325" s="13" t="n"/>
      <c r="W325" s="13" t="n"/>
      <c r="X325" s="14" t="n"/>
      <c r="Y325" s="14" t="n"/>
      <c r="Z325" s="8" t="n"/>
    </row>
    <row r="326">
      <c r="A326" s="4" t="n"/>
      <c r="B326" s="8" t="n"/>
      <c r="C326" s="4" t="n"/>
      <c r="D326" s="4" t="n"/>
      <c r="E326" s="4" t="n"/>
      <c r="F326" s="12" t="n"/>
      <c r="G326" s="4" t="n"/>
      <c r="H326" s="4" t="n"/>
      <c r="I326" s="4" t="n"/>
      <c r="J326" s="5" t="n"/>
      <c r="K326" s="5">
        <f>IF(J326="","",J326+4)</f>
        <v/>
      </c>
      <c r="L326" s="5">
        <f>IF(J326="","",J326+9)</f>
        <v/>
      </c>
      <c r="M326" s="5">
        <f>IF(J326="","",J326+16)</f>
        <v/>
      </c>
      <c r="N326" s="4">
        <f>IF(OR(I326="Contacted",I326="Terms sent"),IF(TODAY()&gt;=M326,"Close (step 3)",IF(TODAY()&gt;=L326,"Follow-up 2",IF(TODAY()&gt;=K326,"Follow-up 1",""))),IF(I326="Shortlisted",IF(G326="","Score it",""),""))</f>
        <v/>
      </c>
      <c r="O326" s="5" t="n"/>
      <c r="P326" s="4" t="n"/>
      <c r="Q326" s="4" t="n"/>
      <c r="R326" s="5" t="n"/>
      <c r="S326" s="4" t="n"/>
      <c r="T326" s="4" t="n"/>
      <c r="U326" s="13" t="n"/>
      <c r="V326" s="13" t="n"/>
      <c r="W326" s="13" t="n"/>
      <c r="X326" s="14" t="n"/>
      <c r="Y326" s="14" t="n"/>
      <c r="Z326" s="8" t="n"/>
    </row>
    <row r="327">
      <c r="A327" s="4" t="n"/>
      <c r="B327" s="8" t="n"/>
      <c r="C327" s="4" t="n"/>
      <c r="D327" s="4" t="n"/>
      <c r="E327" s="4" t="n"/>
      <c r="F327" s="12" t="n"/>
      <c r="G327" s="4" t="n"/>
      <c r="H327" s="4" t="n"/>
      <c r="I327" s="4" t="n"/>
      <c r="J327" s="5" t="n"/>
      <c r="K327" s="5">
        <f>IF(J327="","",J327+4)</f>
        <v/>
      </c>
      <c r="L327" s="5">
        <f>IF(J327="","",J327+9)</f>
        <v/>
      </c>
      <c r="M327" s="5">
        <f>IF(J327="","",J327+16)</f>
        <v/>
      </c>
      <c r="N327" s="4">
        <f>IF(OR(I327="Contacted",I327="Terms sent"),IF(TODAY()&gt;=M327,"Close (step 3)",IF(TODAY()&gt;=L327,"Follow-up 2",IF(TODAY()&gt;=K327,"Follow-up 1",""))),IF(I327="Shortlisted",IF(G327="","Score it",""),""))</f>
        <v/>
      </c>
      <c r="O327" s="5" t="n"/>
      <c r="P327" s="4" t="n"/>
      <c r="Q327" s="4" t="n"/>
      <c r="R327" s="5" t="n"/>
      <c r="S327" s="4" t="n"/>
      <c r="T327" s="4" t="n"/>
      <c r="U327" s="13" t="n"/>
      <c r="V327" s="13" t="n"/>
      <c r="W327" s="13" t="n"/>
      <c r="X327" s="14" t="n"/>
      <c r="Y327" s="14" t="n"/>
      <c r="Z327" s="8" t="n"/>
    </row>
    <row r="328">
      <c r="A328" s="4" t="n"/>
      <c r="B328" s="8" t="n"/>
      <c r="C328" s="4" t="n"/>
      <c r="D328" s="4" t="n"/>
      <c r="E328" s="4" t="n"/>
      <c r="F328" s="12" t="n"/>
      <c r="G328" s="4" t="n"/>
      <c r="H328" s="4" t="n"/>
      <c r="I328" s="4" t="n"/>
      <c r="J328" s="5" t="n"/>
      <c r="K328" s="5">
        <f>IF(J328="","",J328+4)</f>
        <v/>
      </c>
      <c r="L328" s="5">
        <f>IF(J328="","",J328+9)</f>
        <v/>
      </c>
      <c r="M328" s="5">
        <f>IF(J328="","",J328+16)</f>
        <v/>
      </c>
      <c r="N328" s="4">
        <f>IF(OR(I328="Contacted",I328="Terms sent"),IF(TODAY()&gt;=M328,"Close (step 3)",IF(TODAY()&gt;=L328,"Follow-up 2",IF(TODAY()&gt;=K328,"Follow-up 1",""))),IF(I328="Shortlisted",IF(G328="","Score it",""),""))</f>
        <v/>
      </c>
      <c r="O328" s="5" t="n"/>
      <c r="P328" s="4" t="n"/>
      <c r="Q328" s="4" t="n"/>
      <c r="R328" s="5" t="n"/>
      <c r="S328" s="4" t="n"/>
      <c r="T328" s="4" t="n"/>
      <c r="U328" s="13" t="n"/>
      <c r="V328" s="13" t="n"/>
      <c r="W328" s="13" t="n"/>
      <c r="X328" s="14" t="n"/>
      <c r="Y328" s="14" t="n"/>
      <c r="Z328" s="8" t="n"/>
    </row>
    <row r="329">
      <c r="A329" s="4" t="n"/>
      <c r="B329" s="8" t="n"/>
      <c r="C329" s="4" t="n"/>
      <c r="D329" s="4" t="n"/>
      <c r="E329" s="4" t="n"/>
      <c r="F329" s="12" t="n"/>
      <c r="G329" s="4" t="n"/>
      <c r="H329" s="4" t="n"/>
      <c r="I329" s="4" t="n"/>
      <c r="J329" s="5" t="n"/>
      <c r="K329" s="5">
        <f>IF(J329="","",J329+4)</f>
        <v/>
      </c>
      <c r="L329" s="5">
        <f>IF(J329="","",J329+9)</f>
        <v/>
      </c>
      <c r="M329" s="5">
        <f>IF(J329="","",J329+16)</f>
        <v/>
      </c>
      <c r="N329" s="4">
        <f>IF(OR(I329="Contacted",I329="Terms sent"),IF(TODAY()&gt;=M329,"Close (step 3)",IF(TODAY()&gt;=L329,"Follow-up 2",IF(TODAY()&gt;=K329,"Follow-up 1",""))),IF(I329="Shortlisted",IF(G329="","Score it",""),""))</f>
        <v/>
      </c>
      <c r="O329" s="5" t="n"/>
      <c r="P329" s="4" t="n"/>
      <c r="Q329" s="4" t="n"/>
      <c r="R329" s="5" t="n"/>
      <c r="S329" s="4" t="n"/>
      <c r="T329" s="4" t="n"/>
      <c r="U329" s="13" t="n"/>
      <c r="V329" s="13" t="n"/>
      <c r="W329" s="13" t="n"/>
      <c r="X329" s="14" t="n"/>
      <c r="Y329" s="14" t="n"/>
      <c r="Z329" s="8" t="n"/>
    </row>
    <row r="330">
      <c r="A330" s="4" t="n"/>
      <c r="B330" s="8" t="n"/>
      <c r="C330" s="4" t="n"/>
      <c r="D330" s="4" t="n"/>
      <c r="E330" s="4" t="n"/>
      <c r="F330" s="12" t="n"/>
      <c r="G330" s="4" t="n"/>
      <c r="H330" s="4" t="n"/>
      <c r="I330" s="4" t="n"/>
      <c r="J330" s="5" t="n"/>
      <c r="K330" s="5">
        <f>IF(J330="","",J330+4)</f>
        <v/>
      </c>
      <c r="L330" s="5">
        <f>IF(J330="","",J330+9)</f>
        <v/>
      </c>
      <c r="M330" s="5">
        <f>IF(J330="","",J330+16)</f>
        <v/>
      </c>
      <c r="N330" s="4">
        <f>IF(OR(I330="Contacted",I330="Terms sent"),IF(TODAY()&gt;=M330,"Close (step 3)",IF(TODAY()&gt;=L330,"Follow-up 2",IF(TODAY()&gt;=K330,"Follow-up 1",""))),IF(I330="Shortlisted",IF(G330="","Score it",""),""))</f>
        <v/>
      </c>
      <c r="O330" s="5" t="n"/>
      <c r="P330" s="4" t="n"/>
      <c r="Q330" s="4" t="n"/>
      <c r="R330" s="5" t="n"/>
      <c r="S330" s="4" t="n"/>
      <c r="T330" s="4" t="n"/>
      <c r="U330" s="13" t="n"/>
      <c r="V330" s="13" t="n"/>
      <c r="W330" s="13" t="n"/>
      <c r="X330" s="14" t="n"/>
      <c r="Y330" s="14" t="n"/>
      <c r="Z330" s="8" t="n"/>
    </row>
    <row r="331">
      <c r="A331" s="4" t="n"/>
      <c r="B331" s="8" t="n"/>
      <c r="C331" s="4" t="n"/>
      <c r="D331" s="4" t="n"/>
      <c r="E331" s="4" t="n"/>
      <c r="F331" s="12" t="n"/>
      <c r="G331" s="4" t="n"/>
      <c r="H331" s="4" t="n"/>
      <c r="I331" s="4" t="n"/>
      <c r="J331" s="5" t="n"/>
      <c r="K331" s="5">
        <f>IF(J331="","",J331+4)</f>
        <v/>
      </c>
      <c r="L331" s="5">
        <f>IF(J331="","",J331+9)</f>
        <v/>
      </c>
      <c r="M331" s="5">
        <f>IF(J331="","",J331+16)</f>
        <v/>
      </c>
      <c r="N331" s="4">
        <f>IF(OR(I331="Contacted",I331="Terms sent"),IF(TODAY()&gt;=M331,"Close (step 3)",IF(TODAY()&gt;=L331,"Follow-up 2",IF(TODAY()&gt;=K331,"Follow-up 1",""))),IF(I331="Shortlisted",IF(G331="","Score it",""),""))</f>
        <v/>
      </c>
      <c r="O331" s="5" t="n"/>
      <c r="P331" s="4" t="n"/>
      <c r="Q331" s="4" t="n"/>
      <c r="R331" s="5" t="n"/>
      <c r="S331" s="4" t="n"/>
      <c r="T331" s="4" t="n"/>
      <c r="U331" s="13" t="n"/>
      <c r="V331" s="13" t="n"/>
      <c r="W331" s="13" t="n"/>
      <c r="X331" s="14" t="n"/>
      <c r="Y331" s="14" t="n"/>
      <c r="Z331" s="8" t="n"/>
    </row>
    <row r="332">
      <c r="A332" s="4" t="n"/>
      <c r="B332" s="8" t="n"/>
      <c r="C332" s="4" t="n"/>
      <c r="D332" s="4" t="n"/>
      <c r="E332" s="4" t="n"/>
      <c r="F332" s="12" t="n"/>
      <c r="G332" s="4" t="n"/>
      <c r="H332" s="4" t="n"/>
      <c r="I332" s="4" t="n"/>
      <c r="J332" s="5" t="n"/>
      <c r="K332" s="5">
        <f>IF(J332="","",J332+4)</f>
        <v/>
      </c>
      <c r="L332" s="5">
        <f>IF(J332="","",J332+9)</f>
        <v/>
      </c>
      <c r="M332" s="5">
        <f>IF(J332="","",J332+16)</f>
        <v/>
      </c>
      <c r="N332" s="4">
        <f>IF(OR(I332="Contacted",I332="Terms sent"),IF(TODAY()&gt;=M332,"Close (step 3)",IF(TODAY()&gt;=L332,"Follow-up 2",IF(TODAY()&gt;=K332,"Follow-up 1",""))),IF(I332="Shortlisted",IF(G332="","Score it",""),""))</f>
        <v/>
      </c>
      <c r="O332" s="5" t="n"/>
      <c r="P332" s="4" t="n"/>
      <c r="Q332" s="4" t="n"/>
      <c r="R332" s="5" t="n"/>
      <c r="S332" s="4" t="n"/>
      <c r="T332" s="4" t="n"/>
      <c r="U332" s="13" t="n"/>
      <c r="V332" s="13" t="n"/>
      <c r="W332" s="13" t="n"/>
      <c r="X332" s="14" t="n"/>
      <c r="Y332" s="14" t="n"/>
      <c r="Z332" s="8" t="n"/>
    </row>
    <row r="333">
      <c r="A333" s="4" t="n"/>
      <c r="B333" s="8" t="n"/>
      <c r="C333" s="4" t="n"/>
      <c r="D333" s="4" t="n"/>
      <c r="E333" s="4" t="n"/>
      <c r="F333" s="12" t="n"/>
      <c r="G333" s="4" t="n"/>
      <c r="H333" s="4" t="n"/>
      <c r="I333" s="4" t="n"/>
      <c r="J333" s="5" t="n"/>
      <c r="K333" s="5">
        <f>IF(J333="","",J333+4)</f>
        <v/>
      </c>
      <c r="L333" s="5">
        <f>IF(J333="","",J333+9)</f>
        <v/>
      </c>
      <c r="M333" s="5">
        <f>IF(J333="","",J333+16)</f>
        <v/>
      </c>
      <c r="N333" s="4">
        <f>IF(OR(I333="Contacted",I333="Terms sent"),IF(TODAY()&gt;=M333,"Close (step 3)",IF(TODAY()&gt;=L333,"Follow-up 2",IF(TODAY()&gt;=K333,"Follow-up 1",""))),IF(I333="Shortlisted",IF(G333="","Score it",""),""))</f>
        <v/>
      </c>
      <c r="O333" s="5" t="n"/>
      <c r="P333" s="4" t="n"/>
      <c r="Q333" s="4" t="n"/>
      <c r="R333" s="5" t="n"/>
      <c r="S333" s="4" t="n"/>
      <c r="T333" s="4" t="n"/>
      <c r="U333" s="13" t="n"/>
      <c r="V333" s="13" t="n"/>
      <c r="W333" s="13" t="n"/>
      <c r="X333" s="14" t="n"/>
      <c r="Y333" s="14" t="n"/>
      <c r="Z333" s="8" t="n"/>
    </row>
    <row r="334">
      <c r="A334" s="4" t="n"/>
      <c r="B334" s="8" t="n"/>
      <c r="C334" s="4" t="n"/>
      <c r="D334" s="4" t="n"/>
      <c r="E334" s="4" t="n"/>
      <c r="F334" s="12" t="n"/>
      <c r="G334" s="4" t="n"/>
      <c r="H334" s="4" t="n"/>
      <c r="I334" s="4" t="n"/>
      <c r="J334" s="5" t="n"/>
      <c r="K334" s="5">
        <f>IF(J334="","",J334+4)</f>
        <v/>
      </c>
      <c r="L334" s="5">
        <f>IF(J334="","",J334+9)</f>
        <v/>
      </c>
      <c r="M334" s="5">
        <f>IF(J334="","",J334+16)</f>
        <v/>
      </c>
      <c r="N334" s="4">
        <f>IF(OR(I334="Contacted",I334="Terms sent"),IF(TODAY()&gt;=M334,"Close (step 3)",IF(TODAY()&gt;=L334,"Follow-up 2",IF(TODAY()&gt;=K334,"Follow-up 1",""))),IF(I334="Shortlisted",IF(G334="","Score it",""),""))</f>
        <v/>
      </c>
      <c r="O334" s="5" t="n"/>
      <c r="P334" s="4" t="n"/>
      <c r="Q334" s="4" t="n"/>
      <c r="R334" s="5" t="n"/>
      <c r="S334" s="4" t="n"/>
      <c r="T334" s="4" t="n"/>
      <c r="U334" s="13" t="n"/>
      <c r="V334" s="13" t="n"/>
      <c r="W334" s="13" t="n"/>
      <c r="X334" s="14" t="n"/>
      <c r="Y334" s="14" t="n"/>
      <c r="Z334" s="8" t="n"/>
    </row>
    <row r="335">
      <c r="A335" s="4" t="n"/>
      <c r="B335" s="8" t="n"/>
      <c r="C335" s="4" t="n"/>
      <c r="D335" s="4" t="n"/>
      <c r="E335" s="4" t="n"/>
      <c r="F335" s="12" t="n"/>
      <c r="G335" s="4" t="n"/>
      <c r="H335" s="4" t="n"/>
      <c r="I335" s="4" t="n"/>
      <c r="J335" s="5" t="n"/>
      <c r="K335" s="5">
        <f>IF(J335="","",J335+4)</f>
        <v/>
      </c>
      <c r="L335" s="5">
        <f>IF(J335="","",J335+9)</f>
        <v/>
      </c>
      <c r="M335" s="5">
        <f>IF(J335="","",J335+16)</f>
        <v/>
      </c>
      <c r="N335" s="4">
        <f>IF(OR(I335="Contacted",I335="Terms sent"),IF(TODAY()&gt;=M335,"Close (step 3)",IF(TODAY()&gt;=L335,"Follow-up 2",IF(TODAY()&gt;=K335,"Follow-up 1",""))),IF(I335="Shortlisted",IF(G335="","Score it",""),""))</f>
        <v/>
      </c>
      <c r="O335" s="5" t="n"/>
      <c r="P335" s="4" t="n"/>
      <c r="Q335" s="4" t="n"/>
      <c r="R335" s="5" t="n"/>
      <c r="S335" s="4" t="n"/>
      <c r="T335" s="4" t="n"/>
      <c r="U335" s="13" t="n"/>
      <c r="V335" s="13" t="n"/>
      <c r="W335" s="13" t="n"/>
      <c r="X335" s="14" t="n"/>
      <c r="Y335" s="14" t="n"/>
      <c r="Z335" s="8" t="n"/>
    </row>
    <row r="336">
      <c r="A336" s="4" t="n"/>
      <c r="B336" s="8" t="n"/>
      <c r="C336" s="4" t="n"/>
      <c r="D336" s="4" t="n"/>
      <c r="E336" s="4" t="n"/>
      <c r="F336" s="12" t="n"/>
      <c r="G336" s="4" t="n"/>
      <c r="H336" s="4" t="n"/>
      <c r="I336" s="4" t="n"/>
      <c r="J336" s="5" t="n"/>
      <c r="K336" s="5">
        <f>IF(J336="","",J336+4)</f>
        <v/>
      </c>
      <c r="L336" s="5">
        <f>IF(J336="","",J336+9)</f>
        <v/>
      </c>
      <c r="M336" s="5">
        <f>IF(J336="","",J336+16)</f>
        <v/>
      </c>
      <c r="N336" s="4">
        <f>IF(OR(I336="Contacted",I336="Terms sent"),IF(TODAY()&gt;=M336,"Close (step 3)",IF(TODAY()&gt;=L336,"Follow-up 2",IF(TODAY()&gt;=K336,"Follow-up 1",""))),IF(I336="Shortlisted",IF(G336="","Score it",""),""))</f>
        <v/>
      </c>
      <c r="O336" s="5" t="n"/>
      <c r="P336" s="4" t="n"/>
      <c r="Q336" s="4" t="n"/>
      <c r="R336" s="5" t="n"/>
      <c r="S336" s="4" t="n"/>
      <c r="T336" s="4" t="n"/>
      <c r="U336" s="13" t="n"/>
      <c r="V336" s="13" t="n"/>
      <c r="W336" s="13" t="n"/>
      <c r="X336" s="14" t="n"/>
      <c r="Y336" s="14" t="n"/>
      <c r="Z336" s="8" t="n"/>
    </row>
    <row r="337">
      <c r="A337" s="4" t="n"/>
      <c r="B337" s="8" t="n"/>
      <c r="C337" s="4" t="n"/>
      <c r="D337" s="4" t="n"/>
      <c r="E337" s="4" t="n"/>
      <c r="F337" s="12" t="n"/>
      <c r="G337" s="4" t="n"/>
      <c r="H337" s="4" t="n"/>
      <c r="I337" s="4" t="n"/>
      <c r="J337" s="5" t="n"/>
      <c r="K337" s="5">
        <f>IF(J337="","",J337+4)</f>
        <v/>
      </c>
      <c r="L337" s="5">
        <f>IF(J337="","",J337+9)</f>
        <v/>
      </c>
      <c r="M337" s="5">
        <f>IF(J337="","",J337+16)</f>
        <v/>
      </c>
      <c r="N337" s="4">
        <f>IF(OR(I337="Contacted",I337="Terms sent"),IF(TODAY()&gt;=M337,"Close (step 3)",IF(TODAY()&gt;=L337,"Follow-up 2",IF(TODAY()&gt;=K337,"Follow-up 1",""))),IF(I337="Shortlisted",IF(G337="","Score it",""),""))</f>
        <v/>
      </c>
      <c r="O337" s="5" t="n"/>
      <c r="P337" s="4" t="n"/>
      <c r="Q337" s="4" t="n"/>
      <c r="R337" s="5" t="n"/>
      <c r="S337" s="4" t="n"/>
      <c r="T337" s="4" t="n"/>
      <c r="U337" s="13" t="n"/>
      <c r="V337" s="13" t="n"/>
      <c r="W337" s="13" t="n"/>
      <c r="X337" s="14" t="n"/>
      <c r="Y337" s="14" t="n"/>
      <c r="Z337" s="8" t="n"/>
    </row>
    <row r="338">
      <c r="A338" s="4" t="n"/>
      <c r="B338" s="8" t="n"/>
      <c r="C338" s="4" t="n"/>
      <c r="D338" s="4" t="n"/>
      <c r="E338" s="4" t="n"/>
      <c r="F338" s="12" t="n"/>
      <c r="G338" s="4" t="n"/>
      <c r="H338" s="4" t="n"/>
      <c r="I338" s="4" t="n"/>
      <c r="J338" s="5" t="n"/>
      <c r="K338" s="5">
        <f>IF(J338="","",J338+4)</f>
        <v/>
      </c>
      <c r="L338" s="5">
        <f>IF(J338="","",J338+9)</f>
        <v/>
      </c>
      <c r="M338" s="5">
        <f>IF(J338="","",J338+16)</f>
        <v/>
      </c>
      <c r="N338" s="4">
        <f>IF(OR(I338="Contacted",I338="Terms sent"),IF(TODAY()&gt;=M338,"Close (step 3)",IF(TODAY()&gt;=L338,"Follow-up 2",IF(TODAY()&gt;=K338,"Follow-up 1",""))),IF(I338="Shortlisted",IF(G338="","Score it",""),""))</f>
        <v/>
      </c>
      <c r="O338" s="5" t="n"/>
      <c r="P338" s="4" t="n"/>
      <c r="Q338" s="4" t="n"/>
      <c r="R338" s="5" t="n"/>
      <c r="S338" s="4" t="n"/>
      <c r="T338" s="4" t="n"/>
      <c r="U338" s="13" t="n"/>
      <c r="V338" s="13" t="n"/>
      <c r="W338" s="13" t="n"/>
      <c r="X338" s="14" t="n"/>
      <c r="Y338" s="14" t="n"/>
      <c r="Z338" s="8" t="n"/>
    </row>
    <row r="339">
      <c r="A339" s="4" t="n"/>
      <c r="B339" s="8" t="n"/>
      <c r="C339" s="4" t="n"/>
      <c r="D339" s="4" t="n"/>
      <c r="E339" s="4" t="n"/>
      <c r="F339" s="12" t="n"/>
      <c r="G339" s="4" t="n"/>
      <c r="H339" s="4" t="n"/>
      <c r="I339" s="4" t="n"/>
      <c r="J339" s="5" t="n"/>
      <c r="K339" s="5">
        <f>IF(J339="","",J339+4)</f>
        <v/>
      </c>
      <c r="L339" s="5">
        <f>IF(J339="","",J339+9)</f>
        <v/>
      </c>
      <c r="M339" s="5">
        <f>IF(J339="","",J339+16)</f>
        <v/>
      </c>
      <c r="N339" s="4">
        <f>IF(OR(I339="Contacted",I339="Terms sent"),IF(TODAY()&gt;=M339,"Close (step 3)",IF(TODAY()&gt;=L339,"Follow-up 2",IF(TODAY()&gt;=K339,"Follow-up 1",""))),IF(I339="Shortlisted",IF(G339="","Score it",""),""))</f>
        <v/>
      </c>
      <c r="O339" s="5" t="n"/>
      <c r="P339" s="4" t="n"/>
      <c r="Q339" s="4" t="n"/>
      <c r="R339" s="5" t="n"/>
      <c r="S339" s="4" t="n"/>
      <c r="T339" s="4" t="n"/>
      <c r="U339" s="13" t="n"/>
      <c r="V339" s="13" t="n"/>
      <c r="W339" s="13" t="n"/>
      <c r="X339" s="14" t="n"/>
      <c r="Y339" s="14" t="n"/>
      <c r="Z339" s="8" t="n"/>
    </row>
    <row r="340">
      <c r="A340" s="4" t="n"/>
      <c r="B340" s="8" t="n"/>
      <c r="C340" s="4" t="n"/>
      <c r="D340" s="4" t="n"/>
      <c r="E340" s="4" t="n"/>
      <c r="F340" s="12" t="n"/>
      <c r="G340" s="4" t="n"/>
      <c r="H340" s="4" t="n"/>
      <c r="I340" s="4" t="n"/>
      <c r="J340" s="5" t="n"/>
      <c r="K340" s="5">
        <f>IF(J340="","",J340+4)</f>
        <v/>
      </c>
      <c r="L340" s="5">
        <f>IF(J340="","",J340+9)</f>
        <v/>
      </c>
      <c r="M340" s="5">
        <f>IF(J340="","",J340+16)</f>
        <v/>
      </c>
      <c r="N340" s="4">
        <f>IF(OR(I340="Contacted",I340="Terms sent"),IF(TODAY()&gt;=M340,"Close (step 3)",IF(TODAY()&gt;=L340,"Follow-up 2",IF(TODAY()&gt;=K340,"Follow-up 1",""))),IF(I340="Shortlisted",IF(G340="","Score it",""),""))</f>
        <v/>
      </c>
      <c r="O340" s="5" t="n"/>
      <c r="P340" s="4" t="n"/>
      <c r="Q340" s="4" t="n"/>
      <c r="R340" s="5" t="n"/>
      <c r="S340" s="4" t="n"/>
      <c r="T340" s="4" t="n"/>
      <c r="U340" s="13" t="n"/>
      <c r="V340" s="13" t="n"/>
      <c r="W340" s="13" t="n"/>
      <c r="X340" s="14" t="n"/>
      <c r="Y340" s="14" t="n"/>
      <c r="Z340" s="8" t="n"/>
    </row>
    <row r="341">
      <c r="A341" s="4" t="n"/>
      <c r="B341" s="8" t="n"/>
      <c r="C341" s="4" t="n"/>
      <c r="D341" s="4" t="n"/>
      <c r="E341" s="4" t="n"/>
      <c r="F341" s="12" t="n"/>
      <c r="G341" s="4" t="n"/>
      <c r="H341" s="4" t="n"/>
      <c r="I341" s="4" t="n"/>
      <c r="J341" s="5" t="n"/>
      <c r="K341" s="5">
        <f>IF(J341="","",J341+4)</f>
        <v/>
      </c>
      <c r="L341" s="5">
        <f>IF(J341="","",J341+9)</f>
        <v/>
      </c>
      <c r="M341" s="5">
        <f>IF(J341="","",J341+16)</f>
        <v/>
      </c>
      <c r="N341" s="4">
        <f>IF(OR(I341="Contacted",I341="Terms sent"),IF(TODAY()&gt;=M341,"Close (step 3)",IF(TODAY()&gt;=L341,"Follow-up 2",IF(TODAY()&gt;=K341,"Follow-up 1",""))),IF(I341="Shortlisted",IF(G341="","Score it",""),""))</f>
        <v/>
      </c>
      <c r="O341" s="5" t="n"/>
      <c r="P341" s="4" t="n"/>
      <c r="Q341" s="4" t="n"/>
      <c r="R341" s="5" t="n"/>
      <c r="S341" s="4" t="n"/>
      <c r="T341" s="4" t="n"/>
      <c r="U341" s="13" t="n"/>
      <c r="V341" s="13" t="n"/>
      <c r="W341" s="13" t="n"/>
      <c r="X341" s="14" t="n"/>
      <c r="Y341" s="14" t="n"/>
      <c r="Z341" s="8" t="n"/>
    </row>
    <row r="342">
      <c r="A342" s="4" t="n"/>
      <c r="B342" s="8" t="n"/>
      <c r="C342" s="4" t="n"/>
      <c r="D342" s="4" t="n"/>
      <c r="E342" s="4" t="n"/>
      <c r="F342" s="12" t="n"/>
      <c r="G342" s="4" t="n"/>
      <c r="H342" s="4" t="n"/>
      <c r="I342" s="4" t="n"/>
      <c r="J342" s="5" t="n"/>
      <c r="K342" s="5">
        <f>IF(J342="","",J342+4)</f>
        <v/>
      </c>
      <c r="L342" s="5">
        <f>IF(J342="","",J342+9)</f>
        <v/>
      </c>
      <c r="M342" s="5">
        <f>IF(J342="","",J342+16)</f>
        <v/>
      </c>
      <c r="N342" s="4">
        <f>IF(OR(I342="Contacted",I342="Terms sent"),IF(TODAY()&gt;=M342,"Close (step 3)",IF(TODAY()&gt;=L342,"Follow-up 2",IF(TODAY()&gt;=K342,"Follow-up 1",""))),IF(I342="Shortlisted",IF(G342="","Score it",""),""))</f>
        <v/>
      </c>
      <c r="O342" s="5" t="n"/>
      <c r="P342" s="4" t="n"/>
      <c r="Q342" s="4" t="n"/>
      <c r="R342" s="5" t="n"/>
      <c r="S342" s="4" t="n"/>
      <c r="T342" s="4" t="n"/>
      <c r="U342" s="13" t="n"/>
      <c r="V342" s="13" t="n"/>
      <c r="W342" s="13" t="n"/>
      <c r="X342" s="14" t="n"/>
      <c r="Y342" s="14" t="n"/>
      <c r="Z342" s="8" t="n"/>
    </row>
    <row r="343">
      <c r="A343" s="4" t="n"/>
      <c r="B343" s="8" t="n"/>
      <c r="C343" s="4" t="n"/>
      <c r="D343" s="4" t="n"/>
      <c r="E343" s="4" t="n"/>
      <c r="F343" s="12" t="n"/>
      <c r="G343" s="4" t="n"/>
      <c r="H343" s="4" t="n"/>
      <c r="I343" s="4" t="n"/>
      <c r="J343" s="5" t="n"/>
      <c r="K343" s="5">
        <f>IF(J343="","",J343+4)</f>
        <v/>
      </c>
      <c r="L343" s="5">
        <f>IF(J343="","",J343+9)</f>
        <v/>
      </c>
      <c r="M343" s="5">
        <f>IF(J343="","",J343+16)</f>
        <v/>
      </c>
      <c r="N343" s="4">
        <f>IF(OR(I343="Contacted",I343="Terms sent"),IF(TODAY()&gt;=M343,"Close (step 3)",IF(TODAY()&gt;=L343,"Follow-up 2",IF(TODAY()&gt;=K343,"Follow-up 1",""))),IF(I343="Shortlisted",IF(G343="","Score it",""),""))</f>
        <v/>
      </c>
      <c r="O343" s="5" t="n"/>
      <c r="P343" s="4" t="n"/>
      <c r="Q343" s="4" t="n"/>
      <c r="R343" s="5" t="n"/>
      <c r="S343" s="4" t="n"/>
      <c r="T343" s="4" t="n"/>
      <c r="U343" s="13" t="n"/>
      <c r="V343" s="13" t="n"/>
      <c r="W343" s="13" t="n"/>
      <c r="X343" s="14" t="n"/>
      <c r="Y343" s="14" t="n"/>
      <c r="Z343" s="8" t="n"/>
    </row>
    <row r="344">
      <c r="A344" s="4" t="n"/>
      <c r="B344" s="8" t="n"/>
      <c r="C344" s="4" t="n"/>
      <c r="D344" s="4" t="n"/>
      <c r="E344" s="4" t="n"/>
      <c r="F344" s="12" t="n"/>
      <c r="G344" s="4" t="n"/>
      <c r="H344" s="4" t="n"/>
      <c r="I344" s="4" t="n"/>
      <c r="J344" s="5" t="n"/>
      <c r="K344" s="5">
        <f>IF(J344="","",J344+4)</f>
        <v/>
      </c>
      <c r="L344" s="5">
        <f>IF(J344="","",J344+9)</f>
        <v/>
      </c>
      <c r="M344" s="5">
        <f>IF(J344="","",J344+16)</f>
        <v/>
      </c>
      <c r="N344" s="4">
        <f>IF(OR(I344="Contacted",I344="Terms sent"),IF(TODAY()&gt;=M344,"Close (step 3)",IF(TODAY()&gt;=L344,"Follow-up 2",IF(TODAY()&gt;=K344,"Follow-up 1",""))),IF(I344="Shortlisted",IF(G344="","Score it",""),""))</f>
        <v/>
      </c>
      <c r="O344" s="5" t="n"/>
      <c r="P344" s="4" t="n"/>
      <c r="Q344" s="4" t="n"/>
      <c r="R344" s="5" t="n"/>
      <c r="S344" s="4" t="n"/>
      <c r="T344" s="4" t="n"/>
      <c r="U344" s="13" t="n"/>
      <c r="V344" s="13" t="n"/>
      <c r="W344" s="13" t="n"/>
      <c r="X344" s="14" t="n"/>
      <c r="Y344" s="14" t="n"/>
      <c r="Z344" s="8" t="n"/>
    </row>
    <row r="345">
      <c r="A345" s="4" t="n"/>
      <c r="B345" s="8" t="n"/>
      <c r="C345" s="4" t="n"/>
      <c r="D345" s="4" t="n"/>
      <c r="E345" s="4" t="n"/>
      <c r="F345" s="12" t="n"/>
      <c r="G345" s="4" t="n"/>
      <c r="H345" s="4" t="n"/>
      <c r="I345" s="4" t="n"/>
      <c r="J345" s="5" t="n"/>
      <c r="K345" s="5">
        <f>IF(J345="","",J345+4)</f>
        <v/>
      </c>
      <c r="L345" s="5">
        <f>IF(J345="","",J345+9)</f>
        <v/>
      </c>
      <c r="M345" s="5">
        <f>IF(J345="","",J345+16)</f>
        <v/>
      </c>
      <c r="N345" s="4">
        <f>IF(OR(I345="Contacted",I345="Terms sent"),IF(TODAY()&gt;=M345,"Close (step 3)",IF(TODAY()&gt;=L345,"Follow-up 2",IF(TODAY()&gt;=K345,"Follow-up 1",""))),IF(I345="Shortlisted",IF(G345="","Score it",""),""))</f>
        <v/>
      </c>
      <c r="O345" s="5" t="n"/>
      <c r="P345" s="4" t="n"/>
      <c r="Q345" s="4" t="n"/>
      <c r="R345" s="5" t="n"/>
      <c r="S345" s="4" t="n"/>
      <c r="T345" s="4" t="n"/>
      <c r="U345" s="13" t="n"/>
      <c r="V345" s="13" t="n"/>
      <c r="W345" s="13" t="n"/>
      <c r="X345" s="14" t="n"/>
      <c r="Y345" s="14" t="n"/>
      <c r="Z345" s="8" t="n"/>
    </row>
    <row r="346">
      <c r="A346" s="4" t="n"/>
      <c r="B346" s="8" t="n"/>
      <c r="C346" s="4" t="n"/>
      <c r="D346" s="4" t="n"/>
      <c r="E346" s="4" t="n"/>
      <c r="F346" s="12" t="n"/>
      <c r="G346" s="4" t="n"/>
      <c r="H346" s="4" t="n"/>
      <c r="I346" s="4" t="n"/>
      <c r="J346" s="5" t="n"/>
      <c r="K346" s="5">
        <f>IF(J346="","",J346+4)</f>
        <v/>
      </c>
      <c r="L346" s="5">
        <f>IF(J346="","",J346+9)</f>
        <v/>
      </c>
      <c r="M346" s="5">
        <f>IF(J346="","",J346+16)</f>
        <v/>
      </c>
      <c r="N346" s="4">
        <f>IF(OR(I346="Contacted",I346="Terms sent"),IF(TODAY()&gt;=M346,"Close (step 3)",IF(TODAY()&gt;=L346,"Follow-up 2",IF(TODAY()&gt;=K346,"Follow-up 1",""))),IF(I346="Shortlisted",IF(G346="","Score it",""),""))</f>
        <v/>
      </c>
      <c r="O346" s="5" t="n"/>
      <c r="P346" s="4" t="n"/>
      <c r="Q346" s="4" t="n"/>
      <c r="R346" s="5" t="n"/>
      <c r="S346" s="4" t="n"/>
      <c r="T346" s="4" t="n"/>
      <c r="U346" s="13" t="n"/>
      <c r="V346" s="13" t="n"/>
      <c r="W346" s="13" t="n"/>
      <c r="X346" s="14" t="n"/>
      <c r="Y346" s="14" t="n"/>
      <c r="Z346" s="8" t="n"/>
    </row>
    <row r="347">
      <c r="A347" s="4" t="n"/>
      <c r="B347" s="8" t="n"/>
      <c r="C347" s="4" t="n"/>
      <c r="D347" s="4" t="n"/>
      <c r="E347" s="4" t="n"/>
      <c r="F347" s="12" t="n"/>
      <c r="G347" s="4" t="n"/>
      <c r="H347" s="4" t="n"/>
      <c r="I347" s="4" t="n"/>
      <c r="J347" s="5" t="n"/>
      <c r="K347" s="5">
        <f>IF(J347="","",J347+4)</f>
        <v/>
      </c>
      <c r="L347" s="5">
        <f>IF(J347="","",J347+9)</f>
        <v/>
      </c>
      <c r="M347" s="5">
        <f>IF(J347="","",J347+16)</f>
        <v/>
      </c>
      <c r="N347" s="4">
        <f>IF(OR(I347="Contacted",I347="Terms sent"),IF(TODAY()&gt;=M347,"Close (step 3)",IF(TODAY()&gt;=L347,"Follow-up 2",IF(TODAY()&gt;=K347,"Follow-up 1",""))),IF(I347="Shortlisted",IF(G347="","Score it",""),""))</f>
        <v/>
      </c>
      <c r="O347" s="5" t="n"/>
      <c r="P347" s="4" t="n"/>
      <c r="Q347" s="4" t="n"/>
      <c r="R347" s="5" t="n"/>
      <c r="S347" s="4" t="n"/>
      <c r="T347" s="4" t="n"/>
      <c r="U347" s="13" t="n"/>
      <c r="V347" s="13" t="n"/>
      <c r="W347" s="13" t="n"/>
      <c r="X347" s="14" t="n"/>
      <c r="Y347" s="14" t="n"/>
      <c r="Z347" s="8" t="n"/>
    </row>
    <row r="348">
      <c r="A348" s="4" t="n"/>
      <c r="B348" s="8" t="n"/>
      <c r="C348" s="4" t="n"/>
      <c r="D348" s="4" t="n"/>
      <c r="E348" s="4" t="n"/>
      <c r="F348" s="12" t="n"/>
      <c r="G348" s="4" t="n"/>
      <c r="H348" s="4" t="n"/>
      <c r="I348" s="4" t="n"/>
      <c r="J348" s="5" t="n"/>
      <c r="K348" s="5">
        <f>IF(J348="","",J348+4)</f>
        <v/>
      </c>
      <c r="L348" s="5">
        <f>IF(J348="","",J348+9)</f>
        <v/>
      </c>
      <c r="M348" s="5">
        <f>IF(J348="","",J348+16)</f>
        <v/>
      </c>
      <c r="N348" s="4">
        <f>IF(OR(I348="Contacted",I348="Terms sent"),IF(TODAY()&gt;=M348,"Close (step 3)",IF(TODAY()&gt;=L348,"Follow-up 2",IF(TODAY()&gt;=K348,"Follow-up 1",""))),IF(I348="Shortlisted",IF(G348="","Score it",""),""))</f>
        <v/>
      </c>
      <c r="O348" s="5" t="n"/>
      <c r="P348" s="4" t="n"/>
      <c r="Q348" s="4" t="n"/>
      <c r="R348" s="5" t="n"/>
      <c r="S348" s="4" t="n"/>
      <c r="T348" s="4" t="n"/>
      <c r="U348" s="13" t="n"/>
      <c r="V348" s="13" t="n"/>
      <c r="W348" s="13" t="n"/>
      <c r="X348" s="14" t="n"/>
      <c r="Y348" s="14" t="n"/>
      <c r="Z348" s="8" t="n"/>
    </row>
    <row r="349">
      <c r="A349" s="4" t="n"/>
      <c r="B349" s="8" t="n"/>
      <c r="C349" s="4" t="n"/>
      <c r="D349" s="4" t="n"/>
      <c r="E349" s="4" t="n"/>
      <c r="F349" s="12" t="n"/>
      <c r="G349" s="4" t="n"/>
      <c r="H349" s="4" t="n"/>
      <c r="I349" s="4" t="n"/>
      <c r="J349" s="5" t="n"/>
      <c r="K349" s="5">
        <f>IF(J349="","",J349+4)</f>
        <v/>
      </c>
      <c r="L349" s="5">
        <f>IF(J349="","",J349+9)</f>
        <v/>
      </c>
      <c r="M349" s="5">
        <f>IF(J349="","",J349+16)</f>
        <v/>
      </c>
      <c r="N349" s="4">
        <f>IF(OR(I349="Contacted",I349="Terms sent"),IF(TODAY()&gt;=M349,"Close (step 3)",IF(TODAY()&gt;=L349,"Follow-up 2",IF(TODAY()&gt;=K349,"Follow-up 1",""))),IF(I349="Shortlisted",IF(G349="","Score it",""),""))</f>
        <v/>
      </c>
      <c r="O349" s="5" t="n"/>
      <c r="P349" s="4" t="n"/>
      <c r="Q349" s="4" t="n"/>
      <c r="R349" s="5" t="n"/>
      <c r="S349" s="4" t="n"/>
      <c r="T349" s="4" t="n"/>
      <c r="U349" s="13" t="n"/>
      <c r="V349" s="13" t="n"/>
      <c r="W349" s="13" t="n"/>
      <c r="X349" s="14" t="n"/>
      <c r="Y349" s="14" t="n"/>
      <c r="Z349" s="8" t="n"/>
    </row>
    <row r="350">
      <c r="A350" s="4" t="n"/>
      <c r="B350" s="8" t="n"/>
      <c r="C350" s="4" t="n"/>
      <c r="D350" s="4" t="n"/>
      <c r="E350" s="4" t="n"/>
      <c r="F350" s="12" t="n"/>
      <c r="G350" s="4" t="n"/>
      <c r="H350" s="4" t="n"/>
      <c r="I350" s="4" t="n"/>
      <c r="J350" s="5" t="n"/>
      <c r="K350" s="5">
        <f>IF(J350="","",J350+4)</f>
        <v/>
      </c>
      <c r="L350" s="5">
        <f>IF(J350="","",J350+9)</f>
        <v/>
      </c>
      <c r="M350" s="5">
        <f>IF(J350="","",J350+16)</f>
        <v/>
      </c>
      <c r="N350" s="4">
        <f>IF(OR(I350="Contacted",I350="Terms sent"),IF(TODAY()&gt;=M350,"Close (step 3)",IF(TODAY()&gt;=L350,"Follow-up 2",IF(TODAY()&gt;=K350,"Follow-up 1",""))),IF(I350="Shortlisted",IF(G350="","Score it",""),""))</f>
        <v/>
      </c>
      <c r="O350" s="5" t="n"/>
      <c r="P350" s="4" t="n"/>
      <c r="Q350" s="4" t="n"/>
      <c r="R350" s="5" t="n"/>
      <c r="S350" s="4" t="n"/>
      <c r="T350" s="4" t="n"/>
      <c r="U350" s="13" t="n"/>
      <c r="V350" s="13" t="n"/>
      <c r="W350" s="13" t="n"/>
      <c r="X350" s="14" t="n"/>
      <c r="Y350" s="14" t="n"/>
      <c r="Z350" s="8" t="n"/>
    </row>
    <row r="351">
      <c r="A351" s="4" t="n"/>
      <c r="B351" s="8" t="n"/>
      <c r="C351" s="4" t="n"/>
      <c r="D351" s="4" t="n"/>
      <c r="E351" s="4" t="n"/>
      <c r="F351" s="12" t="n"/>
      <c r="G351" s="4" t="n"/>
      <c r="H351" s="4" t="n"/>
      <c r="I351" s="4" t="n"/>
      <c r="J351" s="5" t="n"/>
      <c r="K351" s="5">
        <f>IF(J351="","",J351+4)</f>
        <v/>
      </c>
      <c r="L351" s="5">
        <f>IF(J351="","",J351+9)</f>
        <v/>
      </c>
      <c r="M351" s="5">
        <f>IF(J351="","",J351+16)</f>
        <v/>
      </c>
      <c r="N351" s="4">
        <f>IF(OR(I351="Contacted",I351="Terms sent"),IF(TODAY()&gt;=M351,"Close (step 3)",IF(TODAY()&gt;=L351,"Follow-up 2",IF(TODAY()&gt;=K351,"Follow-up 1",""))),IF(I351="Shortlisted",IF(G351="","Score it",""),""))</f>
        <v/>
      </c>
      <c r="O351" s="5" t="n"/>
      <c r="P351" s="4" t="n"/>
      <c r="Q351" s="4" t="n"/>
      <c r="R351" s="5" t="n"/>
      <c r="S351" s="4" t="n"/>
      <c r="T351" s="4" t="n"/>
      <c r="U351" s="13" t="n"/>
      <c r="V351" s="13" t="n"/>
      <c r="W351" s="13" t="n"/>
      <c r="X351" s="14" t="n"/>
      <c r="Y351" s="14" t="n"/>
      <c r="Z351" s="8" t="n"/>
    </row>
    <row r="352">
      <c r="A352" s="4" t="n"/>
      <c r="B352" s="8" t="n"/>
      <c r="C352" s="4" t="n"/>
      <c r="D352" s="4" t="n"/>
      <c r="E352" s="4" t="n"/>
      <c r="F352" s="12" t="n"/>
      <c r="G352" s="4" t="n"/>
      <c r="H352" s="4" t="n"/>
      <c r="I352" s="4" t="n"/>
      <c r="J352" s="5" t="n"/>
      <c r="K352" s="5">
        <f>IF(J352="","",J352+4)</f>
        <v/>
      </c>
      <c r="L352" s="5">
        <f>IF(J352="","",J352+9)</f>
        <v/>
      </c>
      <c r="M352" s="5">
        <f>IF(J352="","",J352+16)</f>
        <v/>
      </c>
      <c r="N352" s="4">
        <f>IF(OR(I352="Contacted",I352="Terms sent"),IF(TODAY()&gt;=M352,"Close (step 3)",IF(TODAY()&gt;=L352,"Follow-up 2",IF(TODAY()&gt;=K352,"Follow-up 1",""))),IF(I352="Shortlisted",IF(G352="","Score it",""),""))</f>
        <v/>
      </c>
      <c r="O352" s="5" t="n"/>
      <c r="P352" s="4" t="n"/>
      <c r="Q352" s="4" t="n"/>
      <c r="R352" s="5" t="n"/>
      <c r="S352" s="4" t="n"/>
      <c r="T352" s="4" t="n"/>
      <c r="U352" s="13" t="n"/>
      <c r="V352" s="13" t="n"/>
      <c r="W352" s="13" t="n"/>
      <c r="X352" s="14" t="n"/>
      <c r="Y352" s="14" t="n"/>
      <c r="Z352" s="8" t="n"/>
    </row>
    <row r="353">
      <c r="A353" s="4" t="n"/>
      <c r="B353" s="8" t="n"/>
      <c r="C353" s="4" t="n"/>
      <c r="D353" s="4" t="n"/>
      <c r="E353" s="4" t="n"/>
      <c r="F353" s="12" t="n"/>
      <c r="G353" s="4" t="n"/>
      <c r="H353" s="4" t="n"/>
      <c r="I353" s="4" t="n"/>
      <c r="J353" s="5" t="n"/>
      <c r="K353" s="5">
        <f>IF(J353="","",J353+4)</f>
        <v/>
      </c>
      <c r="L353" s="5">
        <f>IF(J353="","",J353+9)</f>
        <v/>
      </c>
      <c r="M353" s="5">
        <f>IF(J353="","",J353+16)</f>
        <v/>
      </c>
      <c r="N353" s="4">
        <f>IF(OR(I353="Contacted",I353="Terms sent"),IF(TODAY()&gt;=M353,"Close (step 3)",IF(TODAY()&gt;=L353,"Follow-up 2",IF(TODAY()&gt;=K353,"Follow-up 1",""))),IF(I353="Shortlisted",IF(G353="","Score it",""),""))</f>
        <v/>
      </c>
      <c r="O353" s="5" t="n"/>
      <c r="P353" s="4" t="n"/>
      <c r="Q353" s="4" t="n"/>
      <c r="R353" s="5" t="n"/>
      <c r="S353" s="4" t="n"/>
      <c r="T353" s="4" t="n"/>
      <c r="U353" s="13" t="n"/>
      <c r="V353" s="13" t="n"/>
      <c r="W353" s="13" t="n"/>
      <c r="X353" s="14" t="n"/>
      <c r="Y353" s="14" t="n"/>
      <c r="Z353" s="8" t="n"/>
    </row>
    <row r="354">
      <c r="A354" s="4" t="n"/>
      <c r="B354" s="8" t="n"/>
      <c r="C354" s="4" t="n"/>
      <c r="D354" s="4" t="n"/>
      <c r="E354" s="4" t="n"/>
      <c r="F354" s="12" t="n"/>
      <c r="G354" s="4" t="n"/>
      <c r="H354" s="4" t="n"/>
      <c r="I354" s="4" t="n"/>
      <c r="J354" s="5" t="n"/>
      <c r="K354" s="5">
        <f>IF(J354="","",J354+4)</f>
        <v/>
      </c>
      <c r="L354" s="5">
        <f>IF(J354="","",J354+9)</f>
        <v/>
      </c>
      <c r="M354" s="5">
        <f>IF(J354="","",J354+16)</f>
        <v/>
      </c>
      <c r="N354" s="4">
        <f>IF(OR(I354="Contacted",I354="Terms sent"),IF(TODAY()&gt;=M354,"Close (step 3)",IF(TODAY()&gt;=L354,"Follow-up 2",IF(TODAY()&gt;=K354,"Follow-up 1",""))),IF(I354="Shortlisted",IF(G354="","Score it",""),""))</f>
        <v/>
      </c>
      <c r="O354" s="5" t="n"/>
      <c r="P354" s="4" t="n"/>
      <c r="Q354" s="4" t="n"/>
      <c r="R354" s="5" t="n"/>
      <c r="S354" s="4" t="n"/>
      <c r="T354" s="4" t="n"/>
      <c r="U354" s="13" t="n"/>
      <c r="V354" s="13" t="n"/>
      <c r="W354" s="13" t="n"/>
      <c r="X354" s="14" t="n"/>
      <c r="Y354" s="14" t="n"/>
      <c r="Z354" s="8" t="n"/>
    </row>
    <row r="355">
      <c r="A355" s="4" t="n"/>
      <c r="B355" s="8" t="n"/>
      <c r="C355" s="4" t="n"/>
      <c r="D355" s="4" t="n"/>
      <c r="E355" s="4" t="n"/>
      <c r="F355" s="12" t="n"/>
      <c r="G355" s="4" t="n"/>
      <c r="H355" s="4" t="n"/>
      <c r="I355" s="4" t="n"/>
      <c r="J355" s="5" t="n"/>
      <c r="K355" s="5">
        <f>IF(J355="","",J355+4)</f>
        <v/>
      </c>
      <c r="L355" s="5">
        <f>IF(J355="","",J355+9)</f>
        <v/>
      </c>
      <c r="M355" s="5">
        <f>IF(J355="","",J355+16)</f>
        <v/>
      </c>
      <c r="N355" s="4">
        <f>IF(OR(I355="Contacted",I355="Terms sent"),IF(TODAY()&gt;=M355,"Close (step 3)",IF(TODAY()&gt;=L355,"Follow-up 2",IF(TODAY()&gt;=K355,"Follow-up 1",""))),IF(I355="Shortlisted",IF(G355="","Score it",""),""))</f>
        <v/>
      </c>
      <c r="O355" s="5" t="n"/>
      <c r="P355" s="4" t="n"/>
      <c r="Q355" s="4" t="n"/>
      <c r="R355" s="5" t="n"/>
      <c r="S355" s="4" t="n"/>
      <c r="T355" s="4" t="n"/>
      <c r="U355" s="13" t="n"/>
      <c r="V355" s="13" t="n"/>
      <c r="W355" s="13" t="n"/>
      <c r="X355" s="14" t="n"/>
      <c r="Y355" s="14" t="n"/>
      <c r="Z355" s="8" t="n"/>
    </row>
    <row r="356">
      <c r="A356" s="4" t="n"/>
      <c r="B356" s="8" t="n"/>
      <c r="C356" s="4" t="n"/>
      <c r="D356" s="4" t="n"/>
      <c r="E356" s="4" t="n"/>
      <c r="F356" s="12" t="n"/>
      <c r="G356" s="4" t="n"/>
      <c r="H356" s="4" t="n"/>
      <c r="I356" s="4" t="n"/>
      <c r="J356" s="5" t="n"/>
      <c r="K356" s="5">
        <f>IF(J356="","",J356+4)</f>
        <v/>
      </c>
      <c r="L356" s="5">
        <f>IF(J356="","",J356+9)</f>
        <v/>
      </c>
      <c r="M356" s="5">
        <f>IF(J356="","",J356+16)</f>
        <v/>
      </c>
      <c r="N356" s="4">
        <f>IF(OR(I356="Contacted",I356="Terms sent"),IF(TODAY()&gt;=M356,"Close (step 3)",IF(TODAY()&gt;=L356,"Follow-up 2",IF(TODAY()&gt;=K356,"Follow-up 1",""))),IF(I356="Shortlisted",IF(G356="","Score it",""),""))</f>
        <v/>
      </c>
      <c r="O356" s="5" t="n"/>
      <c r="P356" s="4" t="n"/>
      <c r="Q356" s="4" t="n"/>
      <c r="R356" s="5" t="n"/>
      <c r="S356" s="4" t="n"/>
      <c r="T356" s="4" t="n"/>
      <c r="U356" s="13" t="n"/>
      <c r="V356" s="13" t="n"/>
      <c r="W356" s="13" t="n"/>
      <c r="X356" s="14" t="n"/>
      <c r="Y356" s="14" t="n"/>
      <c r="Z356" s="8" t="n"/>
    </row>
    <row r="357">
      <c r="A357" s="4" t="n"/>
      <c r="B357" s="8" t="n"/>
      <c r="C357" s="4" t="n"/>
      <c r="D357" s="4" t="n"/>
      <c r="E357" s="4" t="n"/>
      <c r="F357" s="12" t="n"/>
      <c r="G357" s="4" t="n"/>
      <c r="H357" s="4" t="n"/>
      <c r="I357" s="4" t="n"/>
      <c r="J357" s="5" t="n"/>
      <c r="K357" s="5">
        <f>IF(J357="","",J357+4)</f>
        <v/>
      </c>
      <c r="L357" s="5">
        <f>IF(J357="","",J357+9)</f>
        <v/>
      </c>
      <c r="M357" s="5">
        <f>IF(J357="","",J357+16)</f>
        <v/>
      </c>
      <c r="N357" s="4">
        <f>IF(OR(I357="Contacted",I357="Terms sent"),IF(TODAY()&gt;=M357,"Close (step 3)",IF(TODAY()&gt;=L357,"Follow-up 2",IF(TODAY()&gt;=K357,"Follow-up 1",""))),IF(I357="Shortlisted",IF(G357="","Score it",""),""))</f>
        <v/>
      </c>
      <c r="O357" s="5" t="n"/>
      <c r="P357" s="4" t="n"/>
      <c r="Q357" s="4" t="n"/>
      <c r="R357" s="5" t="n"/>
      <c r="S357" s="4" t="n"/>
      <c r="T357" s="4" t="n"/>
      <c r="U357" s="13" t="n"/>
      <c r="V357" s="13" t="n"/>
      <c r="W357" s="13" t="n"/>
      <c r="X357" s="14" t="n"/>
      <c r="Y357" s="14" t="n"/>
      <c r="Z357" s="8" t="n"/>
    </row>
    <row r="358">
      <c r="A358" s="4" t="n"/>
      <c r="B358" s="8" t="n"/>
      <c r="C358" s="4" t="n"/>
      <c r="D358" s="4" t="n"/>
      <c r="E358" s="4" t="n"/>
      <c r="F358" s="12" t="n"/>
      <c r="G358" s="4" t="n"/>
      <c r="H358" s="4" t="n"/>
      <c r="I358" s="4" t="n"/>
      <c r="J358" s="5" t="n"/>
      <c r="K358" s="5">
        <f>IF(J358="","",J358+4)</f>
        <v/>
      </c>
      <c r="L358" s="5">
        <f>IF(J358="","",J358+9)</f>
        <v/>
      </c>
      <c r="M358" s="5">
        <f>IF(J358="","",J358+16)</f>
        <v/>
      </c>
      <c r="N358" s="4">
        <f>IF(OR(I358="Contacted",I358="Terms sent"),IF(TODAY()&gt;=M358,"Close (step 3)",IF(TODAY()&gt;=L358,"Follow-up 2",IF(TODAY()&gt;=K358,"Follow-up 1",""))),IF(I358="Shortlisted",IF(G358="","Score it",""),""))</f>
        <v/>
      </c>
      <c r="O358" s="5" t="n"/>
      <c r="P358" s="4" t="n"/>
      <c r="Q358" s="4" t="n"/>
      <c r="R358" s="5" t="n"/>
      <c r="S358" s="4" t="n"/>
      <c r="T358" s="4" t="n"/>
      <c r="U358" s="13" t="n"/>
      <c r="V358" s="13" t="n"/>
      <c r="W358" s="13" t="n"/>
      <c r="X358" s="14" t="n"/>
      <c r="Y358" s="14" t="n"/>
      <c r="Z358" s="8" t="n"/>
    </row>
    <row r="359">
      <c r="A359" s="4" t="n"/>
      <c r="B359" s="8" t="n"/>
      <c r="C359" s="4" t="n"/>
      <c r="D359" s="4" t="n"/>
      <c r="E359" s="4" t="n"/>
      <c r="F359" s="12" t="n"/>
      <c r="G359" s="4" t="n"/>
      <c r="H359" s="4" t="n"/>
      <c r="I359" s="4" t="n"/>
      <c r="J359" s="5" t="n"/>
      <c r="K359" s="5">
        <f>IF(J359="","",J359+4)</f>
        <v/>
      </c>
      <c r="L359" s="5">
        <f>IF(J359="","",J359+9)</f>
        <v/>
      </c>
      <c r="M359" s="5">
        <f>IF(J359="","",J359+16)</f>
        <v/>
      </c>
      <c r="N359" s="4">
        <f>IF(OR(I359="Contacted",I359="Terms sent"),IF(TODAY()&gt;=M359,"Close (step 3)",IF(TODAY()&gt;=L359,"Follow-up 2",IF(TODAY()&gt;=K359,"Follow-up 1",""))),IF(I359="Shortlisted",IF(G359="","Score it",""),""))</f>
        <v/>
      </c>
      <c r="O359" s="5" t="n"/>
      <c r="P359" s="4" t="n"/>
      <c r="Q359" s="4" t="n"/>
      <c r="R359" s="5" t="n"/>
      <c r="S359" s="4" t="n"/>
      <c r="T359" s="4" t="n"/>
      <c r="U359" s="13" t="n"/>
      <c r="V359" s="13" t="n"/>
      <c r="W359" s="13" t="n"/>
      <c r="X359" s="14" t="n"/>
      <c r="Y359" s="14" t="n"/>
      <c r="Z359" s="8" t="n"/>
    </row>
    <row r="360">
      <c r="A360" s="4" t="n"/>
      <c r="B360" s="8" t="n"/>
      <c r="C360" s="4" t="n"/>
      <c r="D360" s="4" t="n"/>
      <c r="E360" s="4" t="n"/>
      <c r="F360" s="12" t="n"/>
      <c r="G360" s="4" t="n"/>
      <c r="H360" s="4" t="n"/>
      <c r="I360" s="4" t="n"/>
      <c r="J360" s="5" t="n"/>
      <c r="K360" s="5">
        <f>IF(J360="","",J360+4)</f>
        <v/>
      </c>
      <c r="L360" s="5">
        <f>IF(J360="","",J360+9)</f>
        <v/>
      </c>
      <c r="M360" s="5">
        <f>IF(J360="","",J360+16)</f>
        <v/>
      </c>
      <c r="N360" s="4">
        <f>IF(OR(I360="Contacted",I360="Terms sent"),IF(TODAY()&gt;=M360,"Close (step 3)",IF(TODAY()&gt;=L360,"Follow-up 2",IF(TODAY()&gt;=K360,"Follow-up 1",""))),IF(I360="Shortlisted",IF(G360="","Score it",""),""))</f>
        <v/>
      </c>
      <c r="O360" s="5" t="n"/>
      <c r="P360" s="4" t="n"/>
      <c r="Q360" s="4" t="n"/>
      <c r="R360" s="5" t="n"/>
      <c r="S360" s="4" t="n"/>
      <c r="T360" s="4" t="n"/>
      <c r="U360" s="13" t="n"/>
      <c r="V360" s="13" t="n"/>
      <c r="W360" s="13" t="n"/>
      <c r="X360" s="14" t="n"/>
      <c r="Y360" s="14" t="n"/>
      <c r="Z360" s="8" t="n"/>
    </row>
    <row r="361">
      <c r="A361" s="4" t="n"/>
      <c r="B361" s="8" t="n"/>
      <c r="C361" s="4" t="n"/>
      <c r="D361" s="4" t="n"/>
      <c r="E361" s="4" t="n"/>
      <c r="F361" s="12" t="n"/>
      <c r="G361" s="4" t="n"/>
      <c r="H361" s="4" t="n"/>
      <c r="I361" s="4" t="n"/>
      <c r="J361" s="5" t="n"/>
      <c r="K361" s="5">
        <f>IF(J361="","",J361+4)</f>
        <v/>
      </c>
      <c r="L361" s="5">
        <f>IF(J361="","",J361+9)</f>
        <v/>
      </c>
      <c r="M361" s="5">
        <f>IF(J361="","",J361+16)</f>
        <v/>
      </c>
      <c r="N361" s="4">
        <f>IF(OR(I361="Contacted",I361="Terms sent"),IF(TODAY()&gt;=M361,"Close (step 3)",IF(TODAY()&gt;=L361,"Follow-up 2",IF(TODAY()&gt;=K361,"Follow-up 1",""))),IF(I361="Shortlisted",IF(G361="","Score it",""),""))</f>
        <v/>
      </c>
      <c r="O361" s="5" t="n"/>
      <c r="P361" s="4" t="n"/>
      <c r="Q361" s="4" t="n"/>
      <c r="R361" s="5" t="n"/>
      <c r="S361" s="4" t="n"/>
      <c r="T361" s="4" t="n"/>
      <c r="U361" s="13" t="n"/>
      <c r="V361" s="13" t="n"/>
      <c r="W361" s="13" t="n"/>
      <c r="X361" s="14" t="n"/>
      <c r="Y361" s="14" t="n"/>
      <c r="Z361" s="8" t="n"/>
    </row>
    <row r="362">
      <c r="A362" s="4" t="n"/>
      <c r="B362" s="8" t="n"/>
      <c r="C362" s="4" t="n"/>
      <c r="D362" s="4" t="n"/>
      <c r="E362" s="4" t="n"/>
      <c r="F362" s="12" t="n"/>
      <c r="G362" s="4" t="n"/>
      <c r="H362" s="4" t="n"/>
      <c r="I362" s="4" t="n"/>
      <c r="J362" s="5" t="n"/>
      <c r="K362" s="5">
        <f>IF(J362="","",J362+4)</f>
        <v/>
      </c>
      <c r="L362" s="5">
        <f>IF(J362="","",J362+9)</f>
        <v/>
      </c>
      <c r="M362" s="5">
        <f>IF(J362="","",J362+16)</f>
        <v/>
      </c>
      <c r="N362" s="4">
        <f>IF(OR(I362="Contacted",I362="Terms sent"),IF(TODAY()&gt;=M362,"Close (step 3)",IF(TODAY()&gt;=L362,"Follow-up 2",IF(TODAY()&gt;=K362,"Follow-up 1",""))),IF(I362="Shortlisted",IF(G362="","Score it",""),""))</f>
        <v/>
      </c>
      <c r="O362" s="5" t="n"/>
      <c r="P362" s="4" t="n"/>
      <c r="Q362" s="4" t="n"/>
      <c r="R362" s="5" t="n"/>
      <c r="S362" s="4" t="n"/>
      <c r="T362" s="4" t="n"/>
      <c r="U362" s="13" t="n"/>
      <c r="V362" s="13" t="n"/>
      <c r="W362" s="13" t="n"/>
      <c r="X362" s="14" t="n"/>
      <c r="Y362" s="14" t="n"/>
      <c r="Z362" s="8" t="n"/>
    </row>
    <row r="363">
      <c r="A363" s="4" t="n"/>
      <c r="B363" s="8" t="n"/>
      <c r="C363" s="4" t="n"/>
      <c r="D363" s="4" t="n"/>
      <c r="E363" s="4" t="n"/>
      <c r="F363" s="12" t="n"/>
      <c r="G363" s="4" t="n"/>
      <c r="H363" s="4" t="n"/>
      <c r="I363" s="4" t="n"/>
      <c r="J363" s="5" t="n"/>
      <c r="K363" s="5">
        <f>IF(J363="","",J363+4)</f>
        <v/>
      </c>
      <c r="L363" s="5">
        <f>IF(J363="","",J363+9)</f>
        <v/>
      </c>
      <c r="M363" s="5">
        <f>IF(J363="","",J363+16)</f>
        <v/>
      </c>
      <c r="N363" s="4">
        <f>IF(OR(I363="Contacted",I363="Terms sent"),IF(TODAY()&gt;=M363,"Close (step 3)",IF(TODAY()&gt;=L363,"Follow-up 2",IF(TODAY()&gt;=K363,"Follow-up 1",""))),IF(I363="Shortlisted",IF(G363="","Score it",""),""))</f>
        <v/>
      </c>
      <c r="O363" s="5" t="n"/>
      <c r="P363" s="4" t="n"/>
      <c r="Q363" s="4" t="n"/>
      <c r="R363" s="5" t="n"/>
      <c r="S363" s="4" t="n"/>
      <c r="T363" s="4" t="n"/>
      <c r="U363" s="13" t="n"/>
      <c r="V363" s="13" t="n"/>
      <c r="W363" s="13" t="n"/>
      <c r="X363" s="14" t="n"/>
      <c r="Y363" s="14" t="n"/>
      <c r="Z363" s="8" t="n"/>
    </row>
    <row r="364">
      <c r="A364" s="4" t="n"/>
      <c r="B364" s="8" t="n"/>
      <c r="C364" s="4" t="n"/>
      <c r="D364" s="4" t="n"/>
      <c r="E364" s="4" t="n"/>
      <c r="F364" s="12" t="n"/>
      <c r="G364" s="4" t="n"/>
      <c r="H364" s="4" t="n"/>
      <c r="I364" s="4" t="n"/>
      <c r="J364" s="5" t="n"/>
      <c r="K364" s="5">
        <f>IF(J364="","",J364+4)</f>
        <v/>
      </c>
      <c r="L364" s="5">
        <f>IF(J364="","",J364+9)</f>
        <v/>
      </c>
      <c r="M364" s="5">
        <f>IF(J364="","",J364+16)</f>
        <v/>
      </c>
      <c r="N364" s="4">
        <f>IF(OR(I364="Contacted",I364="Terms sent"),IF(TODAY()&gt;=M364,"Close (step 3)",IF(TODAY()&gt;=L364,"Follow-up 2",IF(TODAY()&gt;=K364,"Follow-up 1",""))),IF(I364="Shortlisted",IF(G364="","Score it",""),""))</f>
        <v/>
      </c>
      <c r="O364" s="5" t="n"/>
      <c r="P364" s="4" t="n"/>
      <c r="Q364" s="4" t="n"/>
      <c r="R364" s="5" t="n"/>
      <c r="S364" s="4" t="n"/>
      <c r="T364" s="4" t="n"/>
      <c r="U364" s="13" t="n"/>
      <c r="V364" s="13" t="n"/>
      <c r="W364" s="13" t="n"/>
      <c r="X364" s="14" t="n"/>
      <c r="Y364" s="14" t="n"/>
      <c r="Z364" s="8" t="n"/>
    </row>
    <row r="365">
      <c r="A365" s="4" t="n"/>
      <c r="B365" s="8" t="n"/>
      <c r="C365" s="4" t="n"/>
      <c r="D365" s="4" t="n"/>
      <c r="E365" s="4" t="n"/>
      <c r="F365" s="12" t="n"/>
      <c r="G365" s="4" t="n"/>
      <c r="H365" s="4" t="n"/>
      <c r="I365" s="4" t="n"/>
      <c r="J365" s="5" t="n"/>
      <c r="K365" s="5">
        <f>IF(J365="","",J365+4)</f>
        <v/>
      </c>
      <c r="L365" s="5">
        <f>IF(J365="","",J365+9)</f>
        <v/>
      </c>
      <c r="M365" s="5">
        <f>IF(J365="","",J365+16)</f>
        <v/>
      </c>
      <c r="N365" s="4">
        <f>IF(OR(I365="Contacted",I365="Terms sent"),IF(TODAY()&gt;=M365,"Close (step 3)",IF(TODAY()&gt;=L365,"Follow-up 2",IF(TODAY()&gt;=K365,"Follow-up 1",""))),IF(I365="Shortlisted",IF(G365="","Score it",""),""))</f>
        <v/>
      </c>
      <c r="O365" s="5" t="n"/>
      <c r="P365" s="4" t="n"/>
      <c r="Q365" s="4" t="n"/>
      <c r="R365" s="5" t="n"/>
      <c r="S365" s="4" t="n"/>
      <c r="T365" s="4" t="n"/>
      <c r="U365" s="13" t="n"/>
      <c r="V365" s="13" t="n"/>
      <c r="W365" s="13" t="n"/>
      <c r="X365" s="14" t="n"/>
      <c r="Y365" s="14" t="n"/>
      <c r="Z365" s="8" t="n"/>
    </row>
    <row r="366">
      <c r="A366" s="4" t="n"/>
      <c r="B366" s="8" t="n"/>
      <c r="C366" s="4" t="n"/>
      <c r="D366" s="4" t="n"/>
      <c r="E366" s="4" t="n"/>
      <c r="F366" s="12" t="n"/>
      <c r="G366" s="4" t="n"/>
      <c r="H366" s="4" t="n"/>
      <c r="I366" s="4" t="n"/>
      <c r="J366" s="5" t="n"/>
      <c r="K366" s="5">
        <f>IF(J366="","",J366+4)</f>
        <v/>
      </c>
      <c r="L366" s="5">
        <f>IF(J366="","",J366+9)</f>
        <v/>
      </c>
      <c r="M366" s="5">
        <f>IF(J366="","",J366+16)</f>
        <v/>
      </c>
      <c r="N366" s="4">
        <f>IF(OR(I366="Contacted",I366="Terms sent"),IF(TODAY()&gt;=M366,"Close (step 3)",IF(TODAY()&gt;=L366,"Follow-up 2",IF(TODAY()&gt;=K366,"Follow-up 1",""))),IF(I366="Shortlisted",IF(G366="","Score it",""),""))</f>
        <v/>
      </c>
      <c r="O366" s="5" t="n"/>
      <c r="P366" s="4" t="n"/>
      <c r="Q366" s="4" t="n"/>
      <c r="R366" s="5" t="n"/>
      <c r="S366" s="4" t="n"/>
      <c r="T366" s="4" t="n"/>
      <c r="U366" s="13" t="n"/>
      <c r="V366" s="13" t="n"/>
      <c r="W366" s="13" t="n"/>
      <c r="X366" s="14" t="n"/>
      <c r="Y366" s="14" t="n"/>
      <c r="Z366" s="8" t="n"/>
    </row>
    <row r="367">
      <c r="A367" s="4" t="n"/>
      <c r="B367" s="8" t="n"/>
      <c r="C367" s="4" t="n"/>
      <c r="D367" s="4" t="n"/>
      <c r="E367" s="4" t="n"/>
      <c r="F367" s="12" t="n"/>
      <c r="G367" s="4" t="n"/>
      <c r="H367" s="4" t="n"/>
      <c r="I367" s="4" t="n"/>
      <c r="J367" s="5" t="n"/>
      <c r="K367" s="5">
        <f>IF(J367="","",J367+4)</f>
        <v/>
      </c>
      <c r="L367" s="5">
        <f>IF(J367="","",J367+9)</f>
        <v/>
      </c>
      <c r="M367" s="5">
        <f>IF(J367="","",J367+16)</f>
        <v/>
      </c>
      <c r="N367" s="4">
        <f>IF(OR(I367="Contacted",I367="Terms sent"),IF(TODAY()&gt;=M367,"Close (step 3)",IF(TODAY()&gt;=L367,"Follow-up 2",IF(TODAY()&gt;=K367,"Follow-up 1",""))),IF(I367="Shortlisted",IF(G367="","Score it",""),""))</f>
        <v/>
      </c>
      <c r="O367" s="5" t="n"/>
      <c r="P367" s="4" t="n"/>
      <c r="Q367" s="4" t="n"/>
      <c r="R367" s="5" t="n"/>
      <c r="S367" s="4" t="n"/>
      <c r="T367" s="4" t="n"/>
      <c r="U367" s="13" t="n"/>
      <c r="V367" s="13" t="n"/>
      <c r="W367" s="13" t="n"/>
      <c r="X367" s="14" t="n"/>
      <c r="Y367" s="14" t="n"/>
      <c r="Z367" s="8" t="n"/>
    </row>
    <row r="368">
      <c r="A368" s="4" t="n"/>
      <c r="B368" s="8" t="n"/>
      <c r="C368" s="4" t="n"/>
      <c r="D368" s="4" t="n"/>
      <c r="E368" s="4" t="n"/>
      <c r="F368" s="12" t="n"/>
      <c r="G368" s="4" t="n"/>
      <c r="H368" s="4" t="n"/>
      <c r="I368" s="4" t="n"/>
      <c r="J368" s="5" t="n"/>
      <c r="K368" s="5">
        <f>IF(J368="","",J368+4)</f>
        <v/>
      </c>
      <c r="L368" s="5">
        <f>IF(J368="","",J368+9)</f>
        <v/>
      </c>
      <c r="M368" s="5">
        <f>IF(J368="","",J368+16)</f>
        <v/>
      </c>
      <c r="N368" s="4">
        <f>IF(OR(I368="Contacted",I368="Terms sent"),IF(TODAY()&gt;=M368,"Close (step 3)",IF(TODAY()&gt;=L368,"Follow-up 2",IF(TODAY()&gt;=K368,"Follow-up 1",""))),IF(I368="Shortlisted",IF(G368="","Score it",""),""))</f>
        <v/>
      </c>
      <c r="O368" s="5" t="n"/>
      <c r="P368" s="4" t="n"/>
      <c r="Q368" s="4" t="n"/>
      <c r="R368" s="5" t="n"/>
      <c r="S368" s="4" t="n"/>
      <c r="T368" s="4" t="n"/>
      <c r="U368" s="13" t="n"/>
      <c r="V368" s="13" t="n"/>
      <c r="W368" s="13" t="n"/>
      <c r="X368" s="14" t="n"/>
      <c r="Y368" s="14" t="n"/>
      <c r="Z368" s="8" t="n"/>
    </row>
    <row r="369">
      <c r="A369" s="4" t="n"/>
      <c r="B369" s="8" t="n"/>
      <c r="C369" s="4" t="n"/>
      <c r="D369" s="4" t="n"/>
      <c r="E369" s="4" t="n"/>
      <c r="F369" s="12" t="n"/>
      <c r="G369" s="4" t="n"/>
      <c r="H369" s="4" t="n"/>
      <c r="I369" s="4" t="n"/>
      <c r="J369" s="5" t="n"/>
      <c r="K369" s="5">
        <f>IF(J369="","",J369+4)</f>
        <v/>
      </c>
      <c r="L369" s="5">
        <f>IF(J369="","",J369+9)</f>
        <v/>
      </c>
      <c r="M369" s="5">
        <f>IF(J369="","",J369+16)</f>
        <v/>
      </c>
      <c r="N369" s="4">
        <f>IF(OR(I369="Contacted",I369="Terms sent"),IF(TODAY()&gt;=M369,"Close (step 3)",IF(TODAY()&gt;=L369,"Follow-up 2",IF(TODAY()&gt;=K369,"Follow-up 1",""))),IF(I369="Shortlisted",IF(G369="","Score it",""),""))</f>
        <v/>
      </c>
      <c r="O369" s="5" t="n"/>
      <c r="P369" s="4" t="n"/>
      <c r="Q369" s="4" t="n"/>
      <c r="R369" s="5" t="n"/>
      <c r="S369" s="4" t="n"/>
      <c r="T369" s="4" t="n"/>
      <c r="U369" s="13" t="n"/>
      <c r="V369" s="13" t="n"/>
      <c r="W369" s="13" t="n"/>
      <c r="X369" s="14" t="n"/>
      <c r="Y369" s="14" t="n"/>
      <c r="Z369" s="8" t="n"/>
    </row>
    <row r="370">
      <c r="A370" s="4" t="n"/>
      <c r="B370" s="8" t="n"/>
      <c r="C370" s="4" t="n"/>
      <c r="D370" s="4" t="n"/>
      <c r="E370" s="4" t="n"/>
      <c r="F370" s="12" t="n"/>
      <c r="G370" s="4" t="n"/>
      <c r="H370" s="4" t="n"/>
      <c r="I370" s="4" t="n"/>
      <c r="J370" s="5" t="n"/>
      <c r="K370" s="5">
        <f>IF(J370="","",J370+4)</f>
        <v/>
      </c>
      <c r="L370" s="5">
        <f>IF(J370="","",J370+9)</f>
        <v/>
      </c>
      <c r="M370" s="5">
        <f>IF(J370="","",J370+16)</f>
        <v/>
      </c>
      <c r="N370" s="4">
        <f>IF(OR(I370="Contacted",I370="Terms sent"),IF(TODAY()&gt;=M370,"Close (step 3)",IF(TODAY()&gt;=L370,"Follow-up 2",IF(TODAY()&gt;=K370,"Follow-up 1",""))),IF(I370="Shortlisted",IF(G370="","Score it",""),""))</f>
        <v/>
      </c>
      <c r="O370" s="5" t="n"/>
      <c r="P370" s="4" t="n"/>
      <c r="Q370" s="4" t="n"/>
      <c r="R370" s="5" t="n"/>
      <c r="S370" s="4" t="n"/>
      <c r="T370" s="4" t="n"/>
      <c r="U370" s="13" t="n"/>
      <c r="V370" s="13" t="n"/>
      <c r="W370" s="13" t="n"/>
      <c r="X370" s="14" t="n"/>
      <c r="Y370" s="14" t="n"/>
      <c r="Z370" s="8" t="n"/>
    </row>
    <row r="371">
      <c r="A371" s="4" t="n"/>
      <c r="B371" s="8" t="n"/>
      <c r="C371" s="4" t="n"/>
      <c r="D371" s="4" t="n"/>
      <c r="E371" s="4" t="n"/>
      <c r="F371" s="12" t="n"/>
      <c r="G371" s="4" t="n"/>
      <c r="H371" s="4" t="n"/>
      <c r="I371" s="4" t="n"/>
      <c r="J371" s="5" t="n"/>
      <c r="K371" s="5">
        <f>IF(J371="","",J371+4)</f>
        <v/>
      </c>
      <c r="L371" s="5">
        <f>IF(J371="","",J371+9)</f>
        <v/>
      </c>
      <c r="M371" s="5">
        <f>IF(J371="","",J371+16)</f>
        <v/>
      </c>
      <c r="N371" s="4">
        <f>IF(OR(I371="Contacted",I371="Terms sent"),IF(TODAY()&gt;=M371,"Close (step 3)",IF(TODAY()&gt;=L371,"Follow-up 2",IF(TODAY()&gt;=K371,"Follow-up 1",""))),IF(I371="Shortlisted",IF(G371="","Score it",""),""))</f>
        <v/>
      </c>
      <c r="O371" s="5" t="n"/>
      <c r="P371" s="4" t="n"/>
      <c r="Q371" s="4" t="n"/>
      <c r="R371" s="5" t="n"/>
      <c r="S371" s="4" t="n"/>
      <c r="T371" s="4" t="n"/>
      <c r="U371" s="13" t="n"/>
      <c r="V371" s="13" t="n"/>
      <c r="W371" s="13" t="n"/>
      <c r="X371" s="14" t="n"/>
      <c r="Y371" s="14" t="n"/>
      <c r="Z371" s="8" t="n"/>
    </row>
    <row r="372">
      <c r="A372" s="4" t="n"/>
      <c r="B372" s="8" t="n"/>
      <c r="C372" s="4" t="n"/>
      <c r="D372" s="4" t="n"/>
      <c r="E372" s="4" t="n"/>
      <c r="F372" s="12" t="n"/>
      <c r="G372" s="4" t="n"/>
      <c r="H372" s="4" t="n"/>
      <c r="I372" s="4" t="n"/>
      <c r="J372" s="5" t="n"/>
      <c r="K372" s="5">
        <f>IF(J372="","",J372+4)</f>
        <v/>
      </c>
      <c r="L372" s="5">
        <f>IF(J372="","",J372+9)</f>
        <v/>
      </c>
      <c r="M372" s="5">
        <f>IF(J372="","",J372+16)</f>
        <v/>
      </c>
      <c r="N372" s="4">
        <f>IF(OR(I372="Contacted",I372="Terms sent"),IF(TODAY()&gt;=M372,"Close (step 3)",IF(TODAY()&gt;=L372,"Follow-up 2",IF(TODAY()&gt;=K372,"Follow-up 1",""))),IF(I372="Shortlisted",IF(G372="","Score it",""),""))</f>
        <v/>
      </c>
      <c r="O372" s="5" t="n"/>
      <c r="P372" s="4" t="n"/>
      <c r="Q372" s="4" t="n"/>
      <c r="R372" s="5" t="n"/>
      <c r="S372" s="4" t="n"/>
      <c r="T372" s="4" t="n"/>
      <c r="U372" s="13" t="n"/>
      <c r="V372" s="13" t="n"/>
      <c r="W372" s="13" t="n"/>
      <c r="X372" s="14" t="n"/>
      <c r="Y372" s="14" t="n"/>
      <c r="Z372" s="8" t="n"/>
    </row>
    <row r="373">
      <c r="A373" s="4" t="n"/>
      <c r="B373" s="8" t="n"/>
      <c r="C373" s="4" t="n"/>
      <c r="D373" s="4" t="n"/>
      <c r="E373" s="4" t="n"/>
      <c r="F373" s="12" t="n"/>
      <c r="G373" s="4" t="n"/>
      <c r="H373" s="4" t="n"/>
      <c r="I373" s="4" t="n"/>
      <c r="J373" s="5" t="n"/>
      <c r="K373" s="5">
        <f>IF(J373="","",J373+4)</f>
        <v/>
      </c>
      <c r="L373" s="5">
        <f>IF(J373="","",J373+9)</f>
        <v/>
      </c>
      <c r="M373" s="5">
        <f>IF(J373="","",J373+16)</f>
        <v/>
      </c>
      <c r="N373" s="4">
        <f>IF(OR(I373="Contacted",I373="Terms sent"),IF(TODAY()&gt;=M373,"Close (step 3)",IF(TODAY()&gt;=L373,"Follow-up 2",IF(TODAY()&gt;=K373,"Follow-up 1",""))),IF(I373="Shortlisted",IF(G373="","Score it",""),""))</f>
        <v/>
      </c>
      <c r="O373" s="5" t="n"/>
      <c r="P373" s="4" t="n"/>
      <c r="Q373" s="4" t="n"/>
      <c r="R373" s="5" t="n"/>
      <c r="S373" s="4" t="n"/>
      <c r="T373" s="4" t="n"/>
      <c r="U373" s="13" t="n"/>
      <c r="V373" s="13" t="n"/>
      <c r="W373" s="13" t="n"/>
      <c r="X373" s="14" t="n"/>
      <c r="Y373" s="14" t="n"/>
      <c r="Z373" s="8" t="n"/>
    </row>
    <row r="374">
      <c r="A374" s="4" t="n"/>
      <c r="B374" s="8" t="n"/>
      <c r="C374" s="4" t="n"/>
      <c r="D374" s="4" t="n"/>
      <c r="E374" s="4" t="n"/>
      <c r="F374" s="12" t="n"/>
      <c r="G374" s="4" t="n"/>
      <c r="H374" s="4" t="n"/>
      <c r="I374" s="4" t="n"/>
      <c r="J374" s="5" t="n"/>
      <c r="K374" s="5">
        <f>IF(J374="","",J374+4)</f>
        <v/>
      </c>
      <c r="L374" s="5">
        <f>IF(J374="","",J374+9)</f>
        <v/>
      </c>
      <c r="M374" s="5">
        <f>IF(J374="","",J374+16)</f>
        <v/>
      </c>
      <c r="N374" s="4">
        <f>IF(OR(I374="Contacted",I374="Terms sent"),IF(TODAY()&gt;=M374,"Close (step 3)",IF(TODAY()&gt;=L374,"Follow-up 2",IF(TODAY()&gt;=K374,"Follow-up 1",""))),IF(I374="Shortlisted",IF(G374="","Score it",""),""))</f>
        <v/>
      </c>
      <c r="O374" s="5" t="n"/>
      <c r="P374" s="4" t="n"/>
      <c r="Q374" s="4" t="n"/>
      <c r="R374" s="5" t="n"/>
      <c r="S374" s="4" t="n"/>
      <c r="T374" s="4" t="n"/>
      <c r="U374" s="13" t="n"/>
      <c r="V374" s="13" t="n"/>
      <c r="W374" s="13" t="n"/>
      <c r="X374" s="14" t="n"/>
      <c r="Y374" s="14" t="n"/>
      <c r="Z374" s="8" t="n"/>
    </row>
    <row r="375">
      <c r="A375" s="4" t="n"/>
      <c r="B375" s="8" t="n"/>
      <c r="C375" s="4" t="n"/>
      <c r="D375" s="4" t="n"/>
      <c r="E375" s="4" t="n"/>
      <c r="F375" s="12" t="n"/>
      <c r="G375" s="4" t="n"/>
      <c r="H375" s="4" t="n"/>
      <c r="I375" s="4" t="n"/>
      <c r="J375" s="5" t="n"/>
      <c r="K375" s="5">
        <f>IF(J375="","",J375+4)</f>
        <v/>
      </c>
      <c r="L375" s="5">
        <f>IF(J375="","",J375+9)</f>
        <v/>
      </c>
      <c r="M375" s="5">
        <f>IF(J375="","",J375+16)</f>
        <v/>
      </c>
      <c r="N375" s="4">
        <f>IF(OR(I375="Contacted",I375="Terms sent"),IF(TODAY()&gt;=M375,"Close (step 3)",IF(TODAY()&gt;=L375,"Follow-up 2",IF(TODAY()&gt;=K375,"Follow-up 1",""))),IF(I375="Shortlisted",IF(G375="","Score it",""),""))</f>
        <v/>
      </c>
      <c r="O375" s="5" t="n"/>
      <c r="P375" s="4" t="n"/>
      <c r="Q375" s="4" t="n"/>
      <c r="R375" s="5" t="n"/>
      <c r="S375" s="4" t="n"/>
      <c r="T375" s="4" t="n"/>
      <c r="U375" s="13" t="n"/>
      <c r="V375" s="13" t="n"/>
      <c r="W375" s="13" t="n"/>
      <c r="X375" s="14" t="n"/>
      <c r="Y375" s="14" t="n"/>
      <c r="Z375" s="8" t="n"/>
    </row>
    <row r="376">
      <c r="A376" s="4" t="n"/>
      <c r="B376" s="8" t="n"/>
      <c r="C376" s="4" t="n"/>
      <c r="D376" s="4" t="n"/>
      <c r="E376" s="4" t="n"/>
      <c r="F376" s="12" t="n"/>
      <c r="G376" s="4" t="n"/>
      <c r="H376" s="4" t="n"/>
      <c r="I376" s="4" t="n"/>
      <c r="J376" s="5" t="n"/>
      <c r="K376" s="5">
        <f>IF(J376="","",J376+4)</f>
        <v/>
      </c>
      <c r="L376" s="5">
        <f>IF(J376="","",J376+9)</f>
        <v/>
      </c>
      <c r="M376" s="5">
        <f>IF(J376="","",J376+16)</f>
        <v/>
      </c>
      <c r="N376" s="4">
        <f>IF(OR(I376="Contacted",I376="Terms sent"),IF(TODAY()&gt;=M376,"Close (step 3)",IF(TODAY()&gt;=L376,"Follow-up 2",IF(TODAY()&gt;=K376,"Follow-up 1",""))),IF(I376="Shortlisted",IF(G376="","Score it",""),""))</f>
        <v/>
      </c>
      <c r="O376" s="5" t="n"/>
      <c r="P376" s="4" t="n"/>
      <c r="Q376" s="4" t="n"/>
      <c r="R376" s="5" t="n"/>
      <c r="S376" s="4" t="n"/>
      <c r="T376" s="4" t="n"/>
      <c r="U376" s="13" t="n"/>
      <c r="V376" s="13" t="n"/>
      <c r="W376" s="13" t="n"/>
      <c r="X376" s="14" t="n"/>
      <c r="Y376" s="14" t="n"/>
      <c r="Z376" s="8" t="n"/>
    </row>
    <row r="377">
      <c r="A377" s="4" t="n"/>
      <c r="B377" s="8" t="n"/>
      <c r="C377" s="4" t="n"/>
      <c r="D377" s="4" t="n"/>
      <c r="E377" s="4" t="n"/>
      <c r="F377" s="12" t="n"/>
      <c r="G377" s="4" t="n"/>
      <c r="H377" s="4" t="n"/>
      <c r="I377" s="4" t="n"/>
      <c r="J377" s="5" t="n"/>
      <c r="K377" s="5">
        <f>IF(J377="","",J377+4)</f>
        <v/>
      </c>
      <c r="L377" s="5">
        <f>IF(J377="","",J377+9)</f>
        <v/>
      </c>
      <c r="M377" s="5">
        <f>IF(J377="","",J377+16)</f>
        <v/>
      </c>
      <c r="N377" s="4">
        <f>IF(OR(I377="Contacted",I377="Terms sent"),IF(TODAY()&gt;=M377,"Close (step 3)",IF(TODAY()&gt;=L377,"Follow-up 2",IF(TODAY()&gt;=K377,"Follow-up 1",""))),IF(I377="Shortlisted",IF(G377="","Score it",""),""))</f>
        <v/>
      </c>
      <c r="O377" s="5" t="n"/>
      <c r="P377" s="4" t="n"/>
      <c r="Q377" s="4" t="n"/>
      <c r="R377" s="5" t="n"/>
      <c r="S377" s="4" t="n"/>
      <c r="T377" s="4" t="n"/>
      <c r="U377" s="13" t="n"/>
      <c r="V377" s="13" t="n"/>
      <c r="W377" s="13" t="n"/>
      <c r="X377" s="14" t="n"/>
      <c r="Y377" s="14" t="n"/>
      <c r="Z377" s="8" t="n"/>
    </row>
    <row r="378">
      <c r="A378" s="4" t="n"/>
      <c r="B378" s="8" t="n"/>
      <c r="C378" s="4" t="n"/>
      <c r="D378" s="4" t="n"/>
      <c r="E378" s="4" t="n"/>
      <c r="F378" s="12" t="n"/>
      <c r="G378" s="4" t="n"/>
      <c r="H378" s="4" t="n"/>
      <c r="I378" s="4" t="n"/>
      <c r="J378" s="5" t="n"/>
      <c r="K378" s="5">
        <f>IF(J378="","",J378+4)</f>
        <v/>
      </c>
      <c r="L378" s="5">
        <f>IF(J378="","",J378+9)</f>
        <v/>
      </c>
      <c r="M378" s="5">
        <f>IF(J378="","",J378+16)</f>
        <v/>
      </c>
      <c r="N378" s="4">
        <f>IF(OR(I378="Contacted",I378="Terms sent"),IF(TODAY()&gt;=M378,"Close (step 3)",IF(TODAY()&gt;=L378,"Follow-up 2",IF(TODAY()&gt;=K378,"Follow-up 1",""))),IF(I378="Shortlisted",IF(G378="","Score it",""),""))</f>
        <v/>
      </c>
      <c r="O378" s="5" t="n"/>
      <c r="P378" s="4" t="n"/>
      <c r="Q378" s="4" t="n"/>
      <c r="R378" s="5" t="n"/>
      <c r="S378" s="4" t="n"/>
      <c r="T378" s="4" t="n"/>
      <c r="U378" s="13" t="n"/>
      <c r="V378" s="13" t="n"/>
      <c r="W378" s="13" t="n"/>
      <c r="X378" s="14" t="n"/>
      <c r="Y378" s="14" t="n"/>
      <c r="Z378" s="8" t="n"/>
    </row>
    <row r="379">
      <c r="A379" s="4" t="n"/>
      <c r="B379" s="8" t="n"/>
      <c r="C379" s="4" t="n"/>
      <c r="D379" s="4" t="n"/>
      <c r="E379" s="4" t="n"/>
      <c r="F379" s="12" t="n"/>
      <c r="G379" s="4" t="n"/>
      <c r="H379" s="4" t="n"/>
      <c r="I379" s="4" t="n"/>
      <c r="J379" s="5" t="n"/>
      <c r="K379" s="5">
        <f>IF(J379="","",J379+4)</f>
        <v/>
      </c>
      <c r="L379" s="5">
        <f>IF(J379="","",J379+9)</f>
        <v/>
      </c>
      <c r="M379" s="5">
        <f>IF(J379="","",J379+16)</f>
        <v/>
      </c>
      <c r="N379" s="4">
        <f>IF(OR(I379="Contacted",I379="Terms sent"),IF(TODAY()&gt;=M379,"Close (step 3)",IF(TODAY()&gt;=L379,"Follow-up 2",IF(TODAY()&gt;=K379,"Follow-up 1",""))),IF(I379="Shortlisted",IF(G379="","Score it",""),""))</f>
        <v/>
      </c>
      <c r="O379" s="5" t="n"/>
      <c r="P379" s="4" t="n"/>
      <c r="Q379" s="4" t="n"/>
      <c r="R379" s="5" t="n"/>
      <c r="S379" s="4" t="n"/>
      <c r="T379" s="4" t="n"/>
      <c r="U379" s="13" t="n"/>
      <c r="V379" s="13" t="n"/>
      <c r="W379" s="13" t="n"/>
      <c r="X379" s="14" t="n"/>
      <c r="Y379" s="14" t="n"/>
      <c r="Z379" s="8" t="n"/>
    </row>
    <row r="380">
      <c r="A380" s="4" t="n"/>
      <c r="B380" s="8" t="n"/>
      <c r="C380" s="4" t="n"/>
      <c r="D380" s="4" t="n"/>
      <c r="E380" s="4" t="n"/>
      <c r="F380" s="12" t="n"/>
      <c r="G380" s="4" t="n"/>
      <c r="H380" s="4" t="n"/>
      <c r="I380" s="4" t="n"/>
      <c r="J380" s="5" t="n"/>
      <c r="K380" s="5">
        <f>IF(J380="","",J380+4)</f>
        <v/>
      </c>
      <c r="L380" s="5">
        <f>IF(J380="","",J380+9)</f>
        <v/>
      </c>
      <c r="M380" s="5">
        <f>IF(J380="","",J380+16)</f>
        <v/>
      </c>
      <c r="N380" s="4">
        <f>IF(OR(I380="Contacted",I380="Terms sent"),IF(TODAY()&gt;=M380,"Close (step 3)",IF(TODAY()&gt;=L380,"Follow-up 2",IF(TODAY()&gt;=K380,"Follow-up 1",""))),IF(I380="Shortlisted",IF(G380="","Score it",""),""))</f>
        <v/>
      </c>
      <c r="O380" s="5" t="n"/>
      <c r="P380" s="4" t="n"/>
      <c r="Q380" s="4" t="n"/>
      <c r="R380" s="5" t="n"/>
      <c r="S380" s="4" t="n"/>
      <c r="T380" s="4" t="n"/>
      <c r="U380" s="13" t="n"/>
      <c r="V380" s="13" t="n"/>
      <c r="W380" s="13" t="n"/>
      <c r="X380" s="14" t="n"/>
      <c r="Y380" s="14" t="n"/>
      <c r="Z380" s="8" t="n"/>
    </row>
    <row r="381">
      <c r="A381" s="4" t="n"/>
      <c r="B381" s="8" t="n"/>
      <c r="C381" s="4" t="n"/>
      <c r="D381" s="4" t="n"/>
      <c r="E381" s="4" t="n"/>
      <c r="F381" s="12" t="n"/>
      <c r="G381" s="4" t="n"/>
      <c r="H381" s="4" t="n"/>
      <c r="I381" s="4" t="n"/>
      <c r="J381" s="5" t="n"/>
      <c r="K381" s="5">
        <f>IF(J381="","",J381+4)</f>
        <v/>
      </c>
      <c r="L381" s="5">
        <f>IF(J381="","",J381+9)</f>
        <v/>
      </c>
      <c r="M381" s="5">
        <f>IF(J381="","",J381+16)</f>
        <v/>
      </c>
      <c r="N381" s="4">
        <f>IF(OR(I381="Contacted",I381="Terms sent"),IF(TODAY()&gt;=M381,"Close (step 3)",IF(TODAY()&gt;=L381,"Follow-up 2",IF(TODAY()&gt;=K381,"Follow-up 1",""))),IF(I381="Shortlisted",IF(G381="","Score it",""),""))</f>
        <v/>
      </c>
      <c r="O381" s="5" t="n"/>
      <c r="P381" s="4" t="n"/>
      <c r="Q381" s="4" t="n"/>
      <c r="R381" s="5" t="n"/>
      <c r="S381" s="4" t="n"/>
      <c r="T381" s="4" t="n"/>
      <c r="U381" s="13" t="n"/>
      <c r="V381" s="13" t="n"/>
      <c r="W381" s="13" t="n"/>
      <c r="X381" s="14" t="n"/>
      <c r="Y381" s="14" t="n"/>
      <c r="Z381" s="8" t="n"/>
    </row>
    <row r="382">
      <c r="A382" s="4" t="n"/>
      <c r="B382" s="8" t="n"/>
      <c r="C382" s="4" t="n"/>
      <c r="D382" s="4" t="n"/>
      <c r="E382" s="4" t="n"/>
      <c r="F382" s="12" t="n"/>
      <c r="G382" s="4" t="n"/>
      <c r="H382" s="4" t="n"/>
      <c r="I382" s="4" t="n"/>
      <c r="J382" s="5" t="n"/>
      <c r="K382" s="5">
        <f>IF(J382="","",J382+4)</f>
        <v/>
      </c>
      <c r="L382" s="5">
        <f>IF(J382="","",J382+9)</f>
        <v/>
      </c>
      <c r="M382" s="5">
        <f>IF(J382="","",J382+16)</f>
        <v/>
      </c>
      <c r="N382" s="4">
        <f>IF(OR(I382="Contacted",I382="Terms sent"),IF(TODAY()&gt;=M382,"Close (step 3)",IF(TODAY()&gt;=L382,"Follow-up 2",IF(TODAY()&gt;=K382,"Follow-up 1",""))),IF(I382="Shortlisted",IF(G382="","Score it",""),""))</f>
        <v/>
      </c>
      <c r="O382" s="5" t="n"/>
      <c r="P382" s="4" t="n"/>
      <c r="Q382" s="4" t="n"/>
      <c r="R382" s="5" t="n"/>
      <c r="S382" s="4" t="n"/>
      <c r="T382" s="4" t="n"/>
      <c r="U382" s="13" t="n"/>
      <c r="V382" s="13" t="n"/>
      <c r="W382" s="13" t="n"/>
      <c r="X382" s="14" t="n"/>
      <c r="Y382" s="14" t="n"/>
      <c r="Z382" s="8" t="n"/>
    </row>
    <row r="383">
      <c r="A383" s="4" t="n"/>
      <c r="B383" s="8" t="n"/>
      <c r="C383" s="4" t="n"/>
      <c r="D383" s="4" t="n"/>
      <c r="E383" s="4" t="n"/>
      <c r="F383" s="12" t="n"/>
      <c r="G383" s="4" t="n"/>
      <c r="H383" s="4" t="n"/>
      <c r="I383" s="4" t="n"/>
      <c r="J383" s="5" t="n"/>
      <c r="K383" s="5">
        <f>IF(J383="","",J383+4)</f>
        <v/>
      </c>
      <c r="L383" s="5">
        <f>IF(J383="","",J383+9)</f>
        <v/>
      </c>
      <c r="M383" s="5">
        <f>IF(J383="","",J383+16)</f>
        <v/>
      </c>
      <c r="N383" s="4">
        <f>IF(OR(I383="Contacted",I383="Terms sent"),IF(TODAY()&gt;=M383,"Close (step 3)",IF(TODAY()&gt;=L383,"Follow-up 2",IF(TODAY()&gt;=K383,"Follow-up 1",""))),IF(I383="Shortlisted",IF(G383="","Score it",""),""))</f>
        <v/>
      </c>
      <c r="O383" s="5" t="n"/>
      <c r="P383" s="4" t="n"/>
      <c r="Q383" s="4" t="n"/>
      <c r="R383" s="5" t="n"/>
      <c r="S383" s="4" t="n"/>
      <c r="T383" s="4" t="n"/>
      <c r="U383" s="13" t="n"/>
      <c r="V383" s="13" t="n"/>
      <c r="W383" s="13" t="n"/>
      <c r="X383" s="14" t="n"/>
      <c r="Y383" s="14" t="n"/>
      <c r="Z383" s="8" t="n"/>
    </row>
    <row r="384">
      <c r="A384" s="4" t="n"/>
      <c r="B384" s="8" t="n"/>
      <c r="C384" s="4" t="n"/>
      <c r="D384" s="4" t="n"/>
      <c r="E384" s="4" t="n"/>
      <c r="F384" s="12" t="n"/>
      <c r="G384" s="4" t="n"/>
      <c r="H384" s="4" t="n"/>
      <c r="I384" s="4" t="n"/>
      <c r="J384" s="5" t="n"/>
      <c r="K384" s="5">
        <f>IF(J384="","",J384+4)</f>
        <v/>
      </c>
      <c r="L384" s="5">
        <f>IF(J384="","",J384+9)</f>
        <v/>
      </c>
      <c r="M384" s="5">
        <f>IF(J384="","",J384+16)</f>
        <v/>
      </c>
      <c r="N384" s="4">
        <f>IF(OR(I384="Contacted",I384="Terms sent"),IF(TODAY()&gt;=M384,"Close (step 3)",IF(TODAY()&gt;=L384,"Follow-up 2",IF(TODAY()&gt;=K384,"Follow-up 1",""))),IF(I384="Shortlisted",IF(G384="","Score it",""),""))</f>
        <v/>
      </c>
      <c r="O384" s="5" t="n"/>
      <c r="P384" s="4" t="n"/>
      <c r="Q384" s="4" t="n"/>
      <c r="R384" s="5" t="n"/>
      <c r="S384" s="4" t="n"/>
      <c r="T384" s="4" t="n"/>
      <c r="U384" s="13" t="n"/>
      <c r="V384" s="13" t="n"/>
      <c r="W384" s="13" t="n"/>
      <c r="X384" s="14" t="n"/>
      <c r="Y384" s="14" t="n"/>
      <c r="Z384" s="8" t="n"/>
    </row>
    <row r="385">
      <c r="A385" s="4" t="n"/>
      <c r="B385" s="8" t="n"/>
      <c r="C385" s="4" t="n"/>
      <c r="D385" s="4" t="n"/>
      <c r="E385" s="4" t="n"/>
      <c r="F385" s="12" t="n"/>
      <c r="G385" s="4" t="n"/>
      <c r="H385" s="4" t="n"/>
      <c r="I385" s="4" t="n"/>
      <c r="J385" s="5" t="n"/>
      <c r="K385" s="5">
        <f>IF(J385="","",J385+4)</f>
        <v/>
      </c>
      <c r="L385" s="5">
        <f>IF(J385="","",J385+9)</f>
        <v/>
      </c>
      <c r="M385" s="5">
        <f>IF(J385="","",J385+16)</f>
        <v/>
      </c>
      <c r="N385" s="4">
        <f>IF(OR(I385="Contacted",I385="Terms sent"),IF(TODAY()&gt;=M385,"Close (step 3)",IF(TODAY()&gt;=L385,"Follow-up 2",IF(TODAY()&gt;=K385,"Follow-up 1",""))),IF(I385="Shortlisted",IF(G385="","Score it",""),""))</f>
        <v/>
      </c>
      <c r="O385" s="5" t="n"/>
      <c r="P385" s="4" t="n"/>
      <c r="Q385" s="4" t="n"/>
      <c r="R385" s="5" t="n"/>
      <c r="S385" s="4" t="n"/>
      <c r="T385" s="4" t="n"/>
      <c r="U385" s="13" t="n"/>
      <c r="V385" s="13" t="n"/>
      <c r="W385" s="13" t="n"/>
      <c r="X385" s="14" t="n"/>
      <c r="Y385" s="14" t="n"/>
      <c r="Z385" s="8" t="n"/>
    </row>
    <row r="386">
      <c r="A386" s="4" t="n"/>
      <c r="B386" s="8" t="n"/>
      <c r="C386" s="4" t="n"/>
      <c r="D386" s="4" t="n"/>
      <c r="E386" s="4" t="n"/>
      <c r="F386" s="12" t="n"/>
      <c r="G386" s="4" t="n"/>
      <c r="H386" s="4" t="n"/>
      <c r="I386" s="4" t="n"/>
      <c r="J386" s="5" t="n"/>
      <c r="K386" s="5">
        <f>IF(J386="","",J386+4)</f>
        <v/>
      </c>
      <c r="L386" s="5">
        <f>IF(J386="","",J386+9)</f>
        <v/>
      </c>
      <c r="M386" s="5">
        <f>IF(J386="","",J386+16)</f>
        <v/>
      </c>
      <c r="N386" s="4">
        <f>IF(OR(I386="Contacted",I386="Terms sent"),IF(TODAY()&gt;=M386,"Close (step 3)",IF(TODAY()&gt;=L386,"Follow-up 2",IF(TODAY()&gt;=K386,"Follow-up 1",""))),IF(I386="Shortlisted",IF(G386="","Score it",""),""))</f>
        <v/>
      </c>
      <c r="O386" s="5" t="n"/>
      <c r="P386" s="4" t="n"/>
      <c r="Q386" s="4" t="n"/>
      <c r="R386" s="5" t="n"/>
      <c r="S386" s="4" t="n"/>
      <c r="T386" s="4" t="n"/>
      <c r="U386" s="13" t="n"/>
      <c r="V386" s="13" t="n"/>
      <c r="W386" s="13" t="n"/>
      <c r="X386" s="14" t="n"/>
      <c r="Y386" s="14" t="n"/>
      <c r="Z386" s="8" t="n"/>
    </row>
    <row r="387">
      <c r="A387" s="4" t="n"/>
      <c r="B387" s="8" t="n"/>
      <c r="C387" s="4" t="n"/>
      <c r="D387" s="4" t="n"/>
      <c r="E387" s="4" t="n"/>
      <c r="F387" s="12" t="n"/>
      <c r="G387" s="4" t="n"/>
      <c r="H387" s="4" t="n"/>
      <c r="I387" s="4" t="n"/>
      <c r="J387" s="5" t="n"/>
      <c r="K387" s="5">
        <f>IF(J387="","",J387+4)</f>
        <v/>
      </c>
      <c r="L387" s="5">
        <f>IF(J387="","",J387+9)</f>
        <v/>
      </c>
      <c r="M387" s="5">
        <f>IF(J387="","",J387+16)</f>
        <v/>
      </c>
      <c r="N387" s="4">
        <f>IF(OR(I387="Contacted",I387="Terms sent"),IF(TODAY()&gt;=M387,"Close (step 3)",IF(TODAY()&gt;=L387,"Follow-up 2",IF(TODAY()&gt;=K387,"Follow-up 1",""))),IF(I387="Shortlisted",IF(G387="","Score it",""),""))</f>
        <v/>
      </c>
      <c r="O387" s="5" t="n"/>
      <c r="P387" s="4" t="n"/>
      <c r="Q387" s="4" t="n"/>
      <c r="R387" s="5" t="n"/>
      <c r="S387" s="4" t="n"/>
      <c r="T387" s="4" t="n"/>
      <c r="U387" s="13" t="n"/>
      <c r="V387" s="13" t="n"/>
      <c r="W387" s="13" t="n"/>
      <c r="X387" s="14" t="n"/>
      <c r="Y387" s="14" t="n"/>
      <c r="Z387" s="8" t="n"/>
    </row>
    <row r="388">
      <c r="A388" s="4" t="n"/>
      <c r="B388" s="8" t="n"/>
      <c r="C388" s="4" t="n"/>
      <c r="D388" s="4" t="n"/>
      <c r="E388" s="4" t="n"/>
      <c r="F388" s="12" t="n"/>
      <c r="G388" s="4" t="n"/>
      <c r="H388" s="4" t="n"/>
      <c r="I388" s="4" t="n"/>
      <c r="J388" s="5" t="n"/>
      <c r="K388" s="5">
        <f>IF(J388="","",J388+4)</f>
        <v/>
      </c>
      <c r="L388" s="5">
        <f>IF(J388="","",J388+9)</f>
        <v/>
      </c>
      <c r="M388" s="5">
        <f>IF(J388="","",J388+16)</f>
        <v/>
      </c>
      <c r="N388" s="4">
        <f>IF(OR(I388="Contacted",I388="Terms sent"),IF(TODAY()&gt;=M388,"Close (step 3)",IF(TODAY()&gt;=L388,"Follow-up 2",IF(TODAY()&gt;=K388,"Follow-up 1",""))),IF(I388="Shortlisted",IF(G388="","Score it",""),""))</f>
        <v/>
      </c>
      <c r="O388" s="5" t="n"/>
      <c r="P388" s="4" t="n"/>
      <c r="Q388" s="4" t="n"/>
      <c r="R388" s="5" t="n"/>
      <c r="S388" s="4" t="n"/>
      <c r="T388" s="4" t="n"/>
      <c r="U388" s="13" t="n"/>
      <c r="V388" s="13" t="n"/>
      <c r="W388" s="13" t="n"/>
      <c r="X388" s="14" t="n"/>
      <c r="Y388" s="14" t="n"/>
      <c r="Z388" s="8" t="n"/>
    </row>
    <row r="389">
      <c r="A389" s="4" t="n"/>
      <c r="B389" s="8" t="n"/>
      <c r="C389" s="4" t="n"/>
      <c r="D389" s="4" t="n"/>
      <c r="E389" s="4" t="n"/>
      <c r="F389" s="12" t="n"/>
      <c r="G389" s="4" t="n"/>
      <c r="H389" s="4" t="n"/>
      <c r="I389" s="4" t="n"/>
      <c r="J389" s="5" t="n"/>
      <c r="K389" s="5">
        <f>IF(J389="","",J389+4)</f>
        <v/>
      </c>
      <c r="L389" s="5">
        <f>IF(J389="","",J389+9)</f>
        <v/>
      </c>
      <c r="M389" s="5">
        <f>IF(J389="","",J389+16)</f>
        <v/>
      </c>
      <c r="N389" s="4">
        <f>IF(OR(I389="Contacted",I389="Terms sent"),IF(TODAY()&gt;=M389,"Close (step 3)",IF(TODAY()&gt;=L389,"Follow-up 2",IF(TODAY()&gt;=K389,"Follow-up 1",""))),IF(I389="Shortlisted",IF(G389="","Score it",""),""))</f>
        <v/>
      </c>
      <c r="O389" s="5" t="n"/>
      <c r="P389" s="4" t="n"/>
      <c r="Q389" s="4" t="n"/>
      <c r="R389" s="5" t="n"/>
      <c r="S389" s="4" t="n"/>
      <c r="T389" s="4" t="n"/>
      <c r="U389" s="13" t="n"/>
      <c r="V389" s="13" t="n"/>
      <c r="W389" s="13" t="n"/>
      <c r="X389" s="14" t="n"/>
      <c r="Y389" s="14" t="n"/>
      <c r="Z389" s="8" t="n"/>
    </row>
    <row r="390">
      <c r="A390" s="4" t="n"/>
      <c r="B390" s="8" t="n"/>
      <c r="C390" s="4" t="n"/>
      <c r="D390" s="4" t="n"/>
      <c r="E390" s="4" t="n"/>
      <c r="F390" s="12" t="n"/>
      <c r="G390" s="4" t="n"/>
      <c r="H390" s="4" t="n"/>
      <c r="I390" s="4" t="n"/>
      <c r="J390" s="5" t="n"/>
      <c r="K390" s="5">
        <f>IF(J390="","",J390+4)</f>
        <v/>
      </c>
      <c r="L390" s="5">
        <f>IF(J390="","",J390+9)</f>
        <v/>
      </c>
      <c r="M390" s="5">
        <f>IF(J390="","",J390+16)</f>
        <v/>
      </c>
      <c r="N390" s="4">
        <f>IF(OR(I390="Contacted",I390="Terms sent"),IF(TODAY()&gt;=M390,"Close (step 3)",IF(TODAY()&gt;=L390,"Follow-up 2",IF(TODAY()&gt;=K390,"Follow-up 1",""))),IF(I390="Shortlisted",IF(G390="","Score it",""),""))</f>
        <v/>
      </c>
      <c r="O390" s="5" t="n"/>
      <c r="P390" s="4" t="n"/>
      <c r="Q390" s="4" t="n"/>
      <c r="R390" s="5" t="n"/>
      <c r="S390" s="4" t="n"/>
      <c r="T390" s="4" t="n"/>
      <c r="U390" s="13" t="n"/>
      <c r="V390" s="13" t="n"/>
      <c r="W390" s="13" t="n"/>
      <c r="X390" s="14" t="n"/>
      <c r="Y390" s="14" t="n"/>
      <c r="Z390" s="8" t="n"/>
    </row>
    <row r="391">
      <c r="A391" s="4" t="n"/>
      <c r="B391" s="8" t="n"/>
      <c r="C391" s="4" t="n"/>
      <c r="D391" s="4" t="n"/>
      <c r="E391" s="4" t="n"/>
      <c r="F391" s="12" t="n"/>
      <c r="G391" s="4" t="n"/>
      <c r="H391" s="4" t="n"/>
      <c r="I391" s="4" t="n"/>
      <c r="J391" s="5" t="n"/>
      <c r="K391" s="5">
        <f>IF(J391="","",J391+4)</f>
        <v/>
      </c>
      <c r="L391" s="5">
        <f>IF(J391="","",J391+9)</f>
        <v/>
      </c>
      <c r="M391" s="5">
        <f>IF(J391="","",J391+16)</f>
        <v/>
      </c>
      <c r="N391" s="4">
        <f>IF(OR(I391="Contacted",I391="Terms sent"),IF(TODAY()&gt;=M391,"Close (step 3)",IF(TODAY()&gt;=L391,"Follow-up 2",IF(TODAY()&gt;=K391,"Follow-up 1",""))),IF(I391="Shortlisted",IF(G391="","Score it",""),""))</f>
        <v/>
      </c>
      <c r="O391" s="5" t="n"/>
      <c r="P391" s="4" t="n"/>
      <c r="Q391" s="4" t="n"/>
      <c r="R391" s="5" t="n"/>
      <c r="S391" s="4" t="n"/>
      <c r="T391" s="4" t="n"/>
      <c r="U391" s="13" t="n"/>
      <c r="V391" s="13" t="n"/>
      <c r="W391" s="13" t="n"/>
      <c r="X391" s="14" t="n"/>
      <c r="Y391" s="14" t="n"/>
      <c r="Z391" s="8" t="n"/>
    </row>
    <row r="392">
      <c r="A392" s="4" t="n"/>
      <c r="B392" s="8" t="n"/>
      <c r="C392" s="4" t="n"/>
      <c r="D392" s="4" t="n"/>
      <c r="E392" s="4" t="n"/>
      <c r="F392" s="12" t="n"/>
      <c r="G392" s="4" t="n"/>
      <c r="H392" s="4" t="n"/>
      <c r="I392" s="4" t="n"/>
      <c r="J392" s="5" t="n"/>
      <c r="K392" s="5">
        <f>IF(J392="","",J392+4)</f>
        <v/>
      </c>
      <c r="L392" s="5">
        <f>IF(J392="","",J392+9)</f>
        <v/>
      </c>
      <c r="M392" s="5">
        <f>IF(J392="","",J392+16)</f>
        <v/>
      </c>
      <c r="N392" s="4">
        <f>IF(OR(I392="Contacted",I392="Terms sent"),IF(TODAY()&gt;=M392,"Close (step 3)",IF(TODAY()&gt;=L392,"Follow-up 2",IF(TODAY()&gt;=K392,"Follow-up 1",""))),IF(I392="Shortlisted",IF(G392="","Score it",""),""))</f>
        <v/>
      </c>
      <c r="O392" s="5" t="n"/>
      <c r="P392" s="4" t="n"/>
      <c r="Q392" s="4" t="n"/>
      <c r="R392" s="5" t="n"/>
      <c r="S392" s="4" t="n"/>
      <c r="T392" s="4" t="n"/>
      <c r="U392" s="13" t="n"/>
      <c r="V392" s="13" t="n"/>
      <c r="W392" s="13" t="n"/>
      <c r="X392" s="14" t="n"/>
      <c r="Y392" s="14" t="n"/>
      <c r="Z392" s="8" t="n"/>
    </row>
    <row r="393">
      <c r="A393" s="4" t="n"/>
      <c r="B393" s="8" t="n"/>
      <c r="C393" s="4" t="n"/>
      <c r="D393" s="4" t="n"/>
      <c r="E393" s="4" t="n"/>
      <c r="F393" s="12" t="n"/>
      <c r="G393" s="4" t="n"/>
      <c r="H393" s="4" t="n"/>
      <c r="I393" s="4" t="n"/>
      <c r="J393" s="5" t="n"/>
      <c r="K393" s="5">
        <f>IF(J393="","",J393+4)</f>
        <v/>
      </c>
      <c r="L393" s="5">
        <f>IF(J393="","",J393+9)</f>
        <v/>
      </c>
      <c r="M393" s="5">
        <f>IF(J393="","",J393+16)</f>
        <v/>
      </c>
      <c r="N393" s="4">
        <f>IF(OR(I393="Contacted",I393="Terms sent"),IF(TODAY()&gt;=M393,"Close (step 3)",IF(TODAY()&gt;=L393,"Follow-up 2",IF(TODAY()&gt;=K393,"Follow-up 1",""))),IF(I393="Shortlisted",IF(G393="","Score it",""),""))</f>
        <v/>
      </c>
      <c r="O393" s="5" t="n"/>
      <c r="P393" s="4" t="n"/>
      <c r="Q393" s="4" t="n"/>
      <c r="R393" s="5" t="n"/>
      <c r="S393" s="4" t="n"/>
      <c r="T393" s="4" t="n"/>
      <c r="U393" s="13" t="n"/>
      <c r="V393" s="13" t="n"/>
      <c r="W393" s="13" t="n"/>
      <c r="X393" s="14" t="n"/>
      <c r="Y393" s="14" t="n"/>
      <c r="Z393" s="8" t="n"/>
    </row>
    <row r="394">
      <c r="A394" s="4" t="n"/>
      <c r="B394" s="8" t="n"/>
      <c r="C394" s="4" t="n"/>
      <c r="D394" s="4" t="n"/>
      <c r="E394" s="4" t="n"/>
      <c r="F394" s="12" t="n"/>
      <c r="G394" s="4" t="n"/>
      <c r="H394" s="4" t="n"/>
      <c r="I394" s="4" t="n"/>
      <c r="J394" s="5" t="n"/>
      <c r="K394" s="5">
        <f>IF(J394="","",J394+4)</f>
        <v/>
      </c>
      <c r="L394" s="5">
        <f>IF(J394="","",J394+9)</f>
        <v/>
      </c>
      <c r="M394" s="5">
        <f>IF(J394="","",J394+16)</f>
        <v/>
      </c>
      <c r="N394" s="4">
        <f>IF(OR(I394="Contacted",I394="Terms sent"),IF(TODAY()&gt;=M394,"Close (step 3)",IF(TODAY()&gt;=L394,"Follow-up 2",IF(TODAY()&gt;=K394,"Follow-up 1",""))),IF(I394="Shortlisted",IF(G394="","Score it",""),""))</f>
        <v/>
      </c>
      <c r="O394" s="5" t="n"/>
      <c r="P394" s="4" t="n"/>
      <c r="Q394" s="4" t="n"/>
      <c r="R394" s="5" t="n"/>
      <c r="S394" s="4" t="n"/>
      <c r="T394" s="4" t="n"/>
      <c r="U394" s="13" t="n"/>
      <c r="V394" s="13" t="n"/>
      <c r="W394" s="13" t="n"/>
      <c r="X394" s="14" t="n"/>
      <c r="Y394" s="14" t="n"/>
      <c r="Z394" s="8" t="n"/>
    </row>
    <row r="395">
      <c r="A395" s="4" t="n"/>
      <c r="B395" s="8" t="n"/>
      <c r="C395" s="4" t="n"/>
      <c r="D395" s="4" t="n"/>
      <c r="E395" s="4" t="n"/>
      <c r="F395" s="12" t="n"/>
      <c r="G395" s="4" t="n"/>
      <c r="H395" s="4" t="n"/>
      <c r="I395" s="4" t="n"/>
      <c r="J395" s="5" t="n"/>
      <c r="K395" s="5">
        <f>IF(J395="","",J395+4)</f>
        <v/>
      </c>
      <c r="L395" s="5">
        <f>IF(J395="","",J395+9)</f>
        <v/>
      </c>
      <c r="M395" s="5">
        <f>IF(J395="","",J395+16)</f>
        <v/>
      </c>
      <c r="N395" s="4">
        <f>IF(OR(I395="Contacted",I395="Terms sent"),IF(TODAY()&gt;=M395,"Close (step 3)",IF(TODAY()&gt;=L395,"Follow-up 2",IF(TODAY()&gt;=K395,"Follow-up 1",""))),IF(I395="Shortlisted",IF(G395="","Score it",""),""))</f>
        <v/>
      </c>
      <c r="O395" s="5" t="n"/>
      <c r="P395" s="4" t="n"/>
      <c r="Q395" s="4" t="n"/>
      <c r="R395" s="5" t="n"/>
      <c r="S395" s="4" t="n"/>
      <c r="T395" s="4" t="n"/>
      <c r="U395" s="13" t="n"/>
      <c r="V395" s="13" t="n"/>
      <c r="W395" s="13" t="n"/>
      <c r="X395" s="14" t="n"/>
      <c r="Y395" s="14" t="n"/>
      <c r="Z395" s="8" t="n"/>
    </row>
    <row r="396">
      <c r="A396" s="4" t="n"/>
      <c r="B396" s="8" t="n"/>
      <c r="C396" s="4" t="n"/>
      <c r="D396" s="4" t="n"/>
      <c r="E396" s="4" t="n"/>
      <c r="F396" s="12" t="n"/>
      <c r="G396" s="4" t="n"/>
      <c r="H396" s="4" t="n"/>
      <c r="I396" s="4" t="n"/>
      <c r="J396" s="5" t="n"/>
      <c r="K396" s="5">
        <f>IF(J396="","",J396+4)</f>
        <v/>
      </c>
      <c r="L396" s="5">
        <f>IF(J396="","",J396+9)</f>
        <v/>
      </c>
      <c r="M396" s="5">
        <f>IF(J396="","",J396+16)</f>
        <v/>
      </c>
      <c r="N396" s="4">
        <f>IF(OR(I396="Contacted",I396="Terms sent"),IF(TODAY()&gt;=M396,"Close (step 3)",IF(TODAY()&gt;=L396,"Follow-up 2",IF(TODAY()&gt;=K396,"Follow-up 1",""))),IF(I396="Shortlisted",IF(G396="","Score it",""),""))</f>
        <v/>
      </c>
      <c r="O396" s="5" t="n"/>
      <c r="P396" s="4" t="n"/>
      <c r="Q396" s="4" t="n"/>
      <c r="R396" s="5" t="n"/>
      <c r="S396" s="4" t="n"/>
      <c r="T396" s="4" t="n"/>
      <c r="U396" s="13" t="n"/>
      <c r="V396" s="13" t="n"/>
      <c r="W396" s="13" t="n"/>
      <c r="X396" s="14" t="n"/>
      <c r="Y396" s="14" t="n"/>
      <c r="Z396" s="8" t="n"/>
    </row>
    <row r="397">
      <c r="A397" s="4" t="n"/>
      <c r="B397" s="8" t="n"/>
      <c r="C397" s="4" t="n"/>
      <c r="D397" s="4" t="n"/>
      <c r="E397" s="4" t="n"/>
      <c r="F397" s="12" t="n"/>
      <c r="G397" s="4" t="n"/>
      <c r="H397" s="4" t="n"/>
      <c r="I397" s="4" t="n"/>
      <c r="J397" s="5" t="n"/>
      <c r="K397" s="5">
        <f>IF(J397="","",J397+4)</f>
        <v/>
      </c>
      <c r="L397" s="5">
        <f>IF(J397="","",J397+9)</f>
        <v/>
      </c>
      <c r="M397" s="5">
        <f>IF(J397="","",J397+16)</f>
        <v/>
      </c>
      <c r="N397" s="4">
        <f>IF(OR(I397="Contacted",I397="Terms sent"),IF(TODAY()&gt;=M397,"Close (step 3)",IF(TODAY()&gt;=L397,"Follow-up 2",IF(TODAY()&gt;=K397,"Follow-up 1",""))),IF(I397="Shortlisted",IF(G397="","Score it",""),""))</f>
        <v/>
      </c>
      <c r="O397" s="5" t="n"/>
      <c r="P397" s="4" t="n"/>
      <c r="Q397" s="4" t="n"/>
      <c r="R397" s="5" t="n"/>
      <c r="S397" s="4" t="n"/>
      <c r="T397" s="4" t="n"/>
      <c r="U397" s="13" t="n"/>
      <c r="V397" s="13" t="n"/>
      <c r="W397" s="13" t="n"/>
      <c r="X397" s="14" t="n"/>
      <c r="Y397" s="14" t="n"/>
      <c r="Z397" s="8" t="n"/>
    </row>
    <row r="398">
      <c r="A398" s="4" t="n"/>
      <c r="B398" s="8" t="n"/>
      <c r="C398" s="4" t="n"/>
      <c r="D398" s="4" t="n"/>
      <c r="E398" s="4" t="n"/>
      <c r="F398" s="12" t="n"/>
      <c r="G398" s="4" t="n"/>
      <c r="H398" s="4" t="n"/>
      <c r="I398" s="4" t="n"/>
      <c r="J398" s="5" t="n"/>
      <c r="K398" s="5">
        <f>IF(J398="","",J398+4)</f>
        <v/>
      </c>
      <c r="L398" s="5">
        <f>IF(J398="","",J398+9)</f>
        <v/>
      </c>
      <c r="M398" s="5">
        <f>IF(J398="","",J398+16)</f>
        <v/>
      </c>
      <c r="N398" s="4">
        <f>IF(OR(I398="Contacted",I398="Terms sent"),IF(TODAY()&gt;=M398,"Close (step 3)",IF(TODAY()&gt;=L398,"Follow-up 2",IF(TODAY()&gt;=K398,"Follow-up 1",""))),IF(I398="Shortlisted",IF(G398="","Score it",""),""))</f>
        <v/>
      </c>
      <c r="O398" s="5" t="n"/>
      <c r="P398" s="4" t="n"/>
      <c r="Q398" s="4" t="n"/>
      <c r="R398" s="5" t="n"/>
      <c r="S398" s="4" t="n"/>
      <c r="T398" s="4" t="n"/>
      <c r="U398" s="13" t="n"/>
      <c r="V398" s="13" t="n"/>
      <c r="W398" s="13" t="n"/>
      <c r="X398" s="14" t="n"/>
      <c r="Y398" s="14" t="n"/>
      <c r="Z398" s="8" t="n"/>
    </row>
    <row r="399">
      <c r="A399" s="4" t="n"/>
      <c r="B399" s="8" t="n"/>
      <c r="C399" s="4" t="n"/>
      <c r="D399" s="4" t="n"/>
      <c r="E399" s="4" t="n"/>
      <c r="F399" s="12" t="n"/>
      <c r="G399" s="4" t="n"/>
      <c r="H399" s="4" t="n"/>
      <c r="I399" s="4" t="n"/>
      <c r="J399" s="5" t="n"/>
      <c r="K399" s="5">
        <f>IF(J399="","",J399+4)</f>
        <v/>
      </c>
      <c r="L399" s="5">
        <f>IF(J399="","",J399+9)</f>
        <v/>
      </c>
      <c r="M399" s="5">
        <f>IF(J399="","",J399+16)</f>
        <v/>
      </c>
      <c r="N399" s="4">
        <f>IF(OR(I399="Contacted",I399="Terms sent"),IF(TODAY()&gt;=M399,"Close (step 3)",IF(TODAY()&gt;=L399,"Follow-up 2",IF(TODAY()&gt;=K399,"Follow-up 1",""))),IF(I399="Shortlisted",IF(G399="","Score it",""),""))</f>
        <v/>
      </c>
      <c r="O399" s="5" t="n"/>
      <c r="P399" s="4" t="n"/>
      <c r="Q399" s="4" t="n"/>
      <c r="R399" s="5" t="n"/>
      <c r="S399" s="4" t="n"/>
      <c r="T399" s="4" t="n"/>
      <c r="U399" s="13" t="n"/>
      <c r="V399" s="13" t="n"/>
      <c r="W399" s="13" t="n"/>
      <c r="X399" s="14" t="n"/>
      <c r="Y399" s="14" t="n"/>
      <c r="Z399" s="8" t="n"/>
    </row>
    <row r="400">
      <c r="A400" s="4" t="n"/>
      <c r="B400" s="8" t="n"/>
      <c r="C400" s="4" t="n"/>
      <c r="D400" s="4" t="n"/>
      <c r="E400" s="4" t="n"/>
      <c r="F400" s="12" t="n"/>
      <c r="G400" s="4" t="n"/>
      <c r="H400" s="4" t="n"/>
      <c r="I400" s="4" t="n"/>
      <c r="J400" s="5" t="n"/>
      <c r="K400" s="5">
        <f>IF(J400="","",J400+4)</f>
        <v/>
      </c>
      <c r="L400" s="5">
        <f>IF(J400="","",J400+9)</f>
        <v/>
      </c>
      <c r="M400" s="5">
        <f>IF(J400="","",J400+16)</f>
        <v/>
      </c>
      <c r="N400" s="4">
        <f>IF(OR(I400="Contacted",I400="Terms sent"),IF(TODAY()&gt;=M400,"Close (step 3)",IF(TODAY()&gt;=L400,"Follow-up 2",IF(TODAY()&gt;=K400,"Follow-up 1",""))),IF(I400="Shortlisted",IF(G400="","Score it",""),""))</f>
        <v/>
      </c>
      <c r="O400" s="5" t="n"/>
      <c r="P400" s="4" t="n"/>
      <c r="Q400" s="4" t="n"/>
      <c r="R400" s="5" t="n"/>
      <c r="S400" s="4" t="n"/>
      <c r="T400" s="4" t="n"/>
      <c r="U400" s="13" t="n"/>
      <c r="V400" s="13" t="n"/>
      <c r="W400" s="13" t="n"/>
      <c r="X400" s="14" t="n"/>
      <c r="Y400" s="14" t="n"/>
      <c r="Z400" s="8" t="n"/>
    </row>
    <row r="401">
      <c r="A401" s="4" t="n"/>
      <c r="B401" s="8" t="n"/>
      <c r="C401" s="4" t="n"/>
      <c r="D401" s="4" t="n"/>
      <c r="E401" s="4" t="n"/>
      <c r="F401" s="12" t="n"/>
      <c r="G401" s="4" t="n"/>
      <c r="H401" s="4" t="n"/>
      <c r="I401" s="4" t="n"/>
      <c r="J401" s="5" t="n"/>
      <c r="K401" s="5">
        <f>IF(J401="","",J401+4)</f>
        <v/>
      </c>
      <c r="L401" s="5">
        <f>IF(J401="","",J401+9)</f>
        <v/>
      </c>
      <c r="M401" s="5">
        <f>IF(J401="","",J401+16)</f>
        <v/>
      </c>
      <c r="N401" s="4">
        <f>IF(OR(I401="Contacted",I401="Terms sent"),IF(TODAY()&gt;=M401,"Close (step 3)",IF(TODAY()&gt;=L401,"Follow-up 2",IF(TODAY()&gt;=K401,"Follow-up 1",""))),IF(I401="Shortlisted",IF(G401="","Score it",""),""))</f>
        <v/>
      </c>
      <c r="O401" s="5" t="n"/>
      <c r="P401" s="4" t="n"/>
      <c r="Q401" s="4" t="n"/>
      <c r="R401" s="5" t="n"/>
      <c r="S401" s="4" t="n"/>
      <c r="T401" s="4" t="n"/>
      <c r="U401" s="13" t="n"/>
      <c r="V401" s="13" t="n"/>
      <c r="W401" s="13" t="n"/>
      <c r="X401" s="14" t="n"/>
      <c r="Y401" s="14" t="n"/>
      <c r="Z401" s="8" t="n"/>
    </row>
    <row r="402">
      <c r="A402" s="4" t="n"/>
      <c r="B402" s="8" t="n"/>
      <c r="C402" s="4" t="n"/>
      <c r="D402" s="4" t="n"/>
      <c r="E402" s="4" t="n"/>
      <c r="F402" s="12" t="n"/>
      <c r="G402" s="4" t="n"/>
      <c r="H402" s="4" t="n"/>
      <c r="I402" s="4" t="n"/>
      <c r="J402" s="5" t="n"/>
      <c r="K402" s="5">
        <f>IF(J402="","",J402+4)</f>
        <v/>
      </c>
      <c r="L402" s="5">
        <f>IF(J402="","",J402+9)</f>
        <v/>
      </c>
      <c r="M402" s="5">
        <f>IF(J402="","",J402+16)</f>
        <v/>
      </c>
      <c r="N402" s="4">
        <f>IF(OR(I402="Contacted",I402="Terms sent"),IF(TODAY()&gt;=M402,"Close (step 3)",IF(TODAY()&gt;=L402,"Follow-up 2",IF(TODAY()&gt;=K402,"Follow-up 1",""))),IF(I402="Shortlisted",IF(G402="","Score it",""),""))</f>
        <v/>
      </c>
      <c r="O402" s="5" t="n"/>
      <c r="P402" s="4" t="n"/>
      <c r="Q402" s="4" t="n"/>
      <c r="R402" s="5" t="n"/>
      <c r="S402" s="4" t="n"/>
      <c r="T402" s="4" t="n"/>
      <c r="U402" s="13" t="n"/>
      <c r="V402" s="13" t="n"/>
      <c r="W402" s="13" t="n"/>
      <c r="X402" s="14" t="n"/>
      <c r="Y402" s="14" t="n"/>
      <c r="Z402" s="8" t="n"/>
    </row>
    <row r="403">
      <c r="A403" s="4" t="n"/>
      <c r="B403" s="8" t="n"/>
      <c r="C403" s="4" t="n"/>
      <c r="D403" s="4" t="n"/>
      <c r="E403" s="4" t="n"/>
      <c r="F403" s="12" t="n"/>
      <c r="G403" s="4" t="n"/>
      <c r="H403" s="4" t="n"/>
      <c r="I403" s="4" t="n"/>
      <c r="J403" s="5" t="n"/>
      <c r="K403" s="5">
        <f>IF(J403="","",J403+4)</f>
        <v/>
      </c>
      <c r="L403" s="5">
        <f>IF(J403="","",J403+9)</f>
        <v/>
      </c>
      <c r="M403" s="5">
        <f>IF(J403="","",J403+16)</f>
        <v/>
      </c>
      <c r="N403" s="4">
        <f>IF(OR(I403="Contacted",I403="Terms sent"),IF(TODAY()&gt;=M403,"Close (step 3)",IF(TODAY()&gt;=L403,"Follow-up 2",IF(TODAY()&gt;=K403,"Follow-up 1",""))),IF(I403="Shortlisted",IF(G403="","Score it",""),""))</f>
        <v/>
      </c>
      <c r="O403" s="5" t="n"/>
      <c r="P403" s="4" t="n"/>
      <c r="Q403" s="4" t="n"/>
      <c r="R403" s="5" t="n"/>
      <c r="S403" s="4" t="n"/>
      <c r="T403" s="4" t="n"/>
      <c r="U403" s="13" t="n"/>
      <c r="V403" s="13" t="n"/>
      <c r="W403" s="13" t="n"/>
      <c r="X403" s="14" t="n"/>
      <c r="Y403" s="14" t="n"/>
      <c r="Z403" s="8" t="n"/>
    </row>
    <row r="404">
      <c r="A404" s="4" t="n"/>
      <c r="B404" s="8" t="n"/>
      <c r="C404" s="4" t="n"/>
      <c r="D404" s="4" t="n"/>
      <c r="E404" s="4" t="n"/>
      <c r="F404" s="12" t="n"/>
      <c r="G404" s="4" t="n"/>
      <c r="H404" s="4" t="n"/>
      <c r="I404" s="4" t="n"/>
      <c r="J404" s="5" t="n"/>
      <c r="K404" s="5">
        <f>IF(J404="","",J404+4)</f>
        <v/>
      </c>
      <c r="L404" s="5">
        <f>IF(J404="","",J404+9)</f>
        <v/>
      </c>
      <c r="M404" s="5">
        <f>IF(J404="","",J404+16)</f>
        <v/>
      </c>
      <c r="N404" s="4">
        <f>IF(OR(I404="Contacted",I404="Terms sent"),IF(TODAY()&gt;=M404,"Close (step 3)",IF(TODAY()&gt;=L404,"Follow-up 2",IF(TODAY()&gt;=K404,"Follow-up 1",""))),IF(I404="Shortlisted",IF(G404="","Score it",""),""))</f>
        <v/>
      </c>
      <c r="O404" s="5" t="n"/>
      <c r="P404" s="4" t="n"/>
      <c r="Q404" s="4" t="n"/>
      <c r="R404" s="5" t="n"/>
      <c r="S404" s="4" t="n"/>
      <c r="T404" s="4" t="n"/>
      <c r="U404" s="13" t="n"/>
      <c r="V404" s="13" t="n"/>
      <c r="W404" s="13" t="n"/>
      <c r="X404" s="14" t="n"/>
      <c r="Y404" s="14" t="n"/>
      <c r="Z404" s="8" t="n"/>
    </row>
  </sheetData>
  <autoFilter ref="A4:Z404"/>
  <conditionalFormatting sqref="N5:N404">
    <cfRule type="expression" priority="1" dxfId="2">
      <formula>AND($N5&lt;&gt;"",$N5&lt;&gt;"Score it")</formula>
    </cfRule>
  </conditionalFormatting>
  <conditionalFormatting sqref="A5:Z404">
    <cfRule type="expression" priority="2" dxfId="1">
      <formula>OR($I5="Signed",$I5="Active")</formula>
    </cfRule>
    <cfRule type="expression" priority="3" dxfId="3">
      <formula>OR($I5="Declined",$I5="Opted out")</formula>
    </cfRule>
  </conditionalFormatting>
  <conditionalFormatting sqref="T5:T404">
    <cfRule type="expression" priority="4" dxfId="0">
      <formula>AND($R5&lt;&gt;"",$T5&lt;&gt;"Yes")</formula>
    </cfRule>
  </conditionalFormatting>
  <dataValidations count="6">
    <dataValidation sqref="C5:C404" showDropDown="0" showInputMessage="0" showErrorMessage="1" allowBlank="1" type="list">
      <formula1>=Lists!$D$2:$D$7</formula1>
    </dataValidation>
    <dataValidation sqref="D5:D404" showDropDown="0" showInputMessage="0" showErrorMessage="1" allowBlank="1" type="list">
      <formula1>=Lists!$E$2:$E$10</formula1>
    </dataValidation>
    <dataValidation sqref="H5:H404" showDropDown="0" showInputMessage="0" showErrorMessage="1" allowBlank="1" type="list">
      <formula1>=Lists!$L$2:$L$3</formula1>
    </dataValidation>
    <dataValidation sqref="I5:I404" showDropDown="0" showInputMessage="0" showErrorMessage="1" allowBlank="1" type="list">
      <formula1>=Lists!$F$2:$F$10</formula1>
    </dataValidation>
    <dataValidation sqref="T5:T404" showDropDown="0" showInputMessage="0" showErrorMessage="1" allowBlank="1" type="list">
      <formula1>=Lists!$G$2:$G$3</formula1>
    </dataValidation>
    <dataValidation sqref="G5:G404" showDropDown="0" showInputMessage="0" showErrorMessage="0" allowBlank="1" type="whole" operator="between">
      <formula1>0</formula1>
      <formula2>10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30" customWidth="1" min="4" max="4"/>
    <col width="40" customWidth="1" min="5" max="5"/>
    <col width="70" customWidth="1" min="6" max="6"/>
  </cols>
  <sheetData>
    <row r="1">
      <c r="A1" s="1" t="inlineStr">
        <is>
          <t>Weekly plan per person (from turkey-gameplan.md §4.7 and §6)</t>
        </is>
      </c>
    </row>
    <row r="2">
      <c r="A2" s="2" t="inlineStr">
        <is>
          <t>Read-only plan. Change it here only when the gameplan changes. Merisa ~20 h/week, Ekin ~15 h/week on KolayXport.</t>
        </is>
      </c>
    </row>
    <row r="4" ht="32" customHeight="1">
      <c r="A4" s="3" t="inlineStr">
        <is>
          <t>Week</t>
        </is>
      </c>
      <c r="B4" s="3" t="inlineStr">
        <is>
          <t>Starts</t>
        </is>
      </c>
      <c r="C4" s="3" t="inlineStr">
        <is>
          <t>Person</t>
        </is>
      </c>
      <c r="D4" s="3" t="inlineStr">
        <is>
          <t>Focus</t>
        </is>
      </c>
      <c r="E4" s="3" t="inlineStr">
        <is>
          <t>Targets this week</t>
        </is>
      </c>
      <c r="F4" s="3" t="inlineStr">
        <is>
          <t>Key tasks</t>
        </is>
      </c>
    </row>
    <row r="5">
      <c r="A5" s="4" t="inlineStr">
        <is>
          <t>W1</t>
        </is>
      </c>
      <c r="B5" s="5" t="n">
        <v>46321</v>
      </c>
      <c r="C5" s="4" t="inlineStr">
        <is>
          <t>Merisa</t>
        </is>
      </c>
      <c r="D5" s="8" t="inlineStr">
        <is>
          <t>Set-up</t>
        </is>
      </c>
      <c r="E5" s="8" t="inlineStr">
        <is>
          <t>Shortlist 130 scored (110 groups + 20 müşavirler); 15 helpful answers</t>
        </is>
      </c>
      <c r="F5" s="8" t="inlineStr">
        <is>
          <t>Hire Bionluk freelancer (T13); score shortlist (T14); test Stage A tracking with d7 (T18). Daily ~4 h Mon–Fri: 5 helpful answers in groups (no links), 8 new admin messages (Varyant 5), follow-ups due, partner questions, check partner posts for #işbirliği.</t>
        </is>
      </c>
    </row>
    <row r="6">
      <c r="A6" s="4" t="inlineStr">
        <is>
          <t>W1</t>
        </is>
      </c>
      <c r="B6" s="5" t="n">
        <v>46321</v>
      </c>
      <c r="C6" s="4" t="inlineStr">
        <is>
          <t>Ekin</t>
        </is>
      </c>
      <c r="D6" s="8" t="inlineStr">
        <is>
          <t>Set-up</t>
        </is>
      </c>
      <c r="E6" s="8" t="inlineStr">
        <is>
          <t>Shortlist 70 scored (50 X + 20 YouTube); 15 X replies</t>
        </is>
      </c>
      <c r="F6" s="8" t="inlineStr">
        <is>
          <t>Score shortlist (T15); collect tutorial clips for Shorts. Daily ~3 h Mon–Fri: 3 X replies/quotes, 3 new messages (Varyant 6), 2 Shorts/clips a week from tutorials.</t>
        </is>
      </c>
    </row>
    <row r="7">
      <c r="A7" s="4" t="inlineStr">
        <is>
          <t>W1</t>
        </is>
      </c>
      <c r="B7" s="5" t="n">
        <v>46321</v>
      </c>
      <c r="C7" s="4" t="inlineStr">
        <is>
          <t>Weekly</t>
        </is>
      </c>
      <c r="D7" s="8" t="inlineStr">
        <is>
          <t>Mon: pick contacts · Fri: KPI report (Dashboard) to orchestrator</t>
        </is>
      </c>
      <c r="E7" s="8" t="n"/>
      <c r="F7" s="8" t="inlineStr">
        <is>
          <t>Merisa fills Dashboard yellow cells on Friday from /admin/partners.</t>
        </is>
      </c>
    </row>
    <row r="8">
      <c r="A8" s="4" t="inlineStr">
        <is>
          <t>W2</t>
        </is>
      </c>
      <c r="B8" s="5" t="n">
        <v>46328</v>
      </c>
      <c r="C8" s="4" t="inlineStr">
        <is>
          <t>Merisa</t>
        </is>
      </c>
      <c r="D8" s="8" t="inlineStr">
        <is>
          <t>Outreach starts</t>
        </is>
      </c>
      <c r="E8" s="8" t="inlineStr">
        <is>
          <t>30 contacts; 1–2 partners</t>
        </is>
      </c>
      <c r="F8" s="8" t="inlineStr">
        <is>
          <t>First Varyant 5 messages (after T09 + T18). Fact-check 2 blog posts. Daily ~4 h Mon–Fri: 5 helpful answers in groups (no links), 8 new admin messages (Varyant 5), follow-ups due, partner questions, check partner posts for #işbirliği.</t>
        </is>
      </c>
    </row>
    <row r="9">
      <c r="A9" s="4" t="inlineStr">
        <is>
          <t>W2</t>
        </is>
      </c>
      <c r="B9" s="5" t="n">
        <v>46328</v>
      </c>
      <c r="C9" s="4" t="inlineStr">
        <is>
          <t>Ekin</t>
        </is>
      </c>
      <c r="D9" s="8" t="inlineStr">
        <is>
          <t>Outreach starts</t>
        </is>
      </c>
      <c r="E9" s="8" t="inlineStr">
        <is>
          <t>10 contacts; 0–1 partner</t>
        </is>
      </c>
      <c r="F9" s="8" t="inlineStr">
        <is>
          <t>First Varyant 6 messages. Tutorials go Public (T08). Daily ~3 h Mon–Fri: 3 X replies/quotes, 3 new messages (Varyant 6), 2 Shorts/clips a week from tutorials.</t>
        </is>
      </c>
    </row>
    <row r="10">
      <c r="A10" s="4" t="inlineStr">
        <is>
          <t>W2</t>
        </is>
      </c>
      <c r="B10" s="5" t="n">
        <v>46328</v>
      </c>
      <c r="C10" s="4" t="inlineStr">
        <is>
          <t>Weekly</t>
        </is>
      </c>
      <c r="D10" s="8" t="inlineStr">
        <is>
          <t>Mon: pick contacts · Fri: KPI report (Dashboard) to orchestrator</t>
        </is>
      </c>
      <c r="E10" s="8" t="n"/>
      <c r="F10" s="8" t="inlineStr">
        <is>
          <t>Merisa fills Dashboard yellow cells on Friday from /admin/partners.</t>
        </is>
      </c>
    </row>
    <row r="11">
      <c r="A11" s="4" t="inlineStr">
        <is>
          <t>W3</t>
        </is>
      </c>
      <c r="B11" s="5" t="n">
        <v>46335</v>
      </c>
      <c r="C11" s="4" t="inlineStr">
        <is>
          <t>Merisa</t>
        </is>
      </c>
      <c r="D11" s="8" t="inlineStr">
        <is>
          <t>Outreach</t>
        </is>
      </c>
      <c r="E11" s="8" t="inlineStr">
        <is>
          <t>40 contacts; first partner posts</t>
        </is>
      </c>
      <c r="F11" s="8" t="inlineStr">
        <is>
          <t>Send ready post drafts to signed partners. Daily ~4 h Mon–Fri: 5 helpful answers in groups (no links), 8 new admin messages (Varyant 5), follow-ups due, partner questions, check partner posts for #işbirliği.</t>
        </is>
      </c>
    </row>
    <row r="12">
      <c r="A12" s="4" t="inlineStr">
        <is>
          <t>W3</t>
        </is>
      </c>
      <c r="B12" s="5" t="n">
        <v>46335</v>
      </c>
      <c r="C12" s="4" t="inlineStr">
        <is>
          <t>Ekin</t>
        </is>
      </c>
      <c r="D12" s="8" t="inlineStr">
        <is>
          <t>Outreach</t>
        </is>
      </c>
      <c r="E12" s="8" t="inlineStr">
        <is>
          <t>15 contacts</t>
        </is>
      </c>
      <c r="F12" s="8" t="inlineStr">
        <is>
          <t>Clips from public tutorials. Daily ~3 h Mon–Fri: 3 X replies/quotes, 3 new messages (Varyant 6), 2 Shorts/clips a week from tutorials.</t>
        </is>
      </c>
    </row>
    <row r="13">
      <c r="A13" s="4" t="inlineStr">
        <is>
          <t>W3</t>
        </is>
      </c>
      <c r="B13" s="5" t="n">
        <v>46335</v>
      </c>
      <c r="C13" s="4" t="inlineStr">
        <is>
          <t>Weekly</t>
        </is>
      </c>
      <c r="D13" s="8" t="inlineStr">
        <is>
          <t>Mon: pick contacts · Fri: KPI report (Dashboard) to orchestrator</t>
        </is>
      </c>
      <c r="E13" s="8" t="n"/>
      <c r="F13" s="8" t="inlineStr">
        <is>
          <t>Merisa fills Dashboard yellow cells on Friday from /admin/partners.</t>
        </is>
      </c>
    </row>
    <row r="14">
      <c r="A14" s="4" t="inlineStr">
        <is>
          <t>W4</t>
        </is>
      </c>
      <c r="B14" s="5" t="n">
        <v>46342</v>
      </c>
      <c r="C14" s="4" t="inlineStr">
        <is>
          <t>Merisa</t>
        </is>
      </c>
      <c r="D14" s="8" t="inlineStr">
        <is>
          <t>Outreach + demo</t>
        </is>
      </c>
      <c r="E14" s="8" t="inlineStr">
        <is>
          <t>40 contacts; 7 partners total; first live demo</t>
        </is>
      </c>
      <c r="F14" s="8" t="inlineStr">
        <is>
          <t>Run first live demo in a partner group (T21). Review reply/accept rates. Daily ~4 h Mon–Fri: 5 helpful answers in groups (no links), 8 new admin messages (Varyant 5), follow-ups due, partner questions, check partner posts for #işbirliği.</t>
        </is>
      </c>
    </row>
    <row r="15">
      <c r="A15" s="4" t="inlineStr">
        <is>
          <t>W4</t>
        </is>
      </c>
      <c r="B15" s="5" t="n">
        <v>46342</v>
      </c>
      <c r="C15" s="4" t="inlineStr">
        <is>
          <t>Ekin</t>
        </is>
      </c>
      <c r="D15" s="8" t="inlineStr">
        <is>
          <t>Outreach + demo</t>
        </is>
      </c>
      <c r="E15" s="8" t="inlineStr">
        <is>
          <t>15 contacts</t>
        </is>
      </c>
      <c r="F15" s="8" t="inlineStr">
        <is>
          <t>Prepare demo screens from the demo account. Daily ~3 h Mon–Fri: 3 X replies/quotes, 3 new messages (Varyant 6), 2 Shorts/clips a week from tutorials.</t>
        </is>
      </c>
    </row>
    <row r="16">
      <c r="A16" s="4" t="inlineStr">
        <is>
          <t>W4</t>
        </is>
      </c>
      <c r="B16" s="5" t="n">
        <v>46342</v>
      </c>
      <c r="C16" s="4" t="inlineStr">
        <is>
          <t>Weekly</t>
        </is>
      </c>
      <c r="D16" s="8" t="inlineStr">
        <is>
          <t>Mon: pick contacts · Fri: KPI report (Dashboard) to orchestrator</t>
        </is>
      </c>
      <c r="E16" s="8" t="n"/>
      <c r="F16" s="8" t="inlineStr">
        <is>
          <t>Merisa fills Dashboard yellow cells on Friday from /admin/partners.</t>
        </is>
      </c>
    </row>
    <row r="17">
      <c r="A17" s="4" t="inlineStr">
        <is>
          <t>W5</t>
        </is>
      </c>
      <c r="B17" s="5" t="n">
        <v>46349</v>
      </c>
      <c r="C17" s="4" t="inlineStr">
        <is>
          <t>Merisa</t>
        </is>
      </c>
      <c r="D17" s="8" t="inlineStr">
        <is>
          <t>Black Friday angle</t>
        </is>
      </c>
      <c r="E17" s="8" t="inlineStr">
        <is>
          <t>40 contacts</t>
        </is>
      </c>
      <c r="F17" s="8" t="inlineStr">
        <is>
          <t>Partners share Black Friday content (blog #1, #7). Daily ~4 h Mon–Fri: 5 helpful answers in groups (no links), 8 new admin messages (Varyant 5), follow-ups due, partner questions, check partner posts for #işbirliği.</t>
        </is>
      </c>
    </row>
    <row r="18">
      <c r="A18" s="4" t="inlineStr">
        <is>
          <t>W5</t>
        </is>
      </c>
      <c r="B18" s="5" t="n">
        <v>46349</v>
      </c>
      <c r="C18" s="4" t="inlineStr">
        <is>
          <t>Ekin</t>
        </is>
      </c>
      <c r="D18" s="8" t="inlineStr">
        <is>
          <t>Black Friday angle</t>
        </is>
      </c>
      <c r="E18" s="8" t="inlineStr">
        <is>
          <t>15 contacts</t>
        </is>
      </c>
      <c r="F18" s="8" t="inlineStr">
        <is>
          <t>Black Friday clips. Daily ~3 h Mon–Fri: 3 X replies/quotes, 3 new messages (Varyant 6), 2 Shorts/clips a week from tutorials.</t>
        </is>
      </c>
    </row>
    <row r="19">
      <c r="A19" s="4" t="inlineStr">
        <is>
          <t>W5</t>
        </is>
      </c>
      <c r="B19" s="5" t="n">
        <v>46349</v>
      </c>
      <c r="C19" s="4" t="inlineStr">
        <is>
          <t>Weekly</t>
        </is>
      </c>
      <c r="D19" s="8" t="inlineStr">
        <is>
          <t>Mon: pick contacts · Fri: KPI report (Dashboard) to orchestrator</t>
        </is>
      </c>
      <c r="E19" s="8" t="n"/>
      <c r="F19" s="8" t="inlineStr">
        <is>
          <t>Merisa fills Dashboard yellow cells on Friday from /admin/partners.</t>
        </is>
      </c>
    </row>
    <row r="20">
      <c r="A20" s="4" t="inlineStr">
        <is>
          <t>W6</t>
        </is>
      </c>
      <c r="B20" s="5" t="n">
        <v>46356</v>
      </c>
      <c r="C20" s="4" t="inlineStr">
        <is>
          <t>Merisa</t>
        </is>
      </c>
      <c r="D20" s="8" t="inlineStr">
        <is>
          <t>Outreach</t>
        </is>
      </c>
      <c r="E20" s="8" t="inlineStr">
        <is>
          <t>40 contacts; 12 partners total; 45 activated</t>
        </is>
      </c>
      <c r="F20" s="8" t="inlineStr">
        <is>
          <t>First trial→paid read. Chase T10 (tracking IDs due 30 Nov). Daily ~4 h Mon–Fri: 5 helpful answers in groups (no links), 8 new admin messages (Varyant 5), follow-ups due, partner questions, check partner posts for #işbirliği.</t>
        </is>
      </c>
    </row>
    <row r="21">
      <c r="A21" s="4" t="inlineStr">
        <is>
          <t>W6</t>
        </is>
      </c>
      <c r="B21" s="5" t="n">
        <v>46356</v>
      </c>
      <c r="C21" s="4" t="inlineStr">
        <is>
          <t>Ekin</t>
        </is>
      </c>
      <c r="D21" s="8" t="inlineStr">
        <is>
          <t>Outreach</t>
        </is>
      </c>
      <c r="E21" s="8" t="inlineStr">
        <is>
          <t>15 contacts</t>
        </is>
      </c>
      <c r="F21" s="8" t="inlineStr">
        <is>
          <t>Daily ~3 h Mon–Fri: 3 X replies/quotes, 3 new messages (Varyant 6), 2 Shorts/clips a week from tutorials.</t>
        </is>
      </c>
    </row>
    <row r="22">
      <c r="A22" s="4" t="inlineStr">
        <is>
          <t>W6</t>
        </is>
      </c>
      <c r="B22" s="5" t="n">
        <v>46356</v>
      </c>
      <c r="C22" s="4" t="inlineStr">
        <is>
          <t>Weekly</t>
        </is>
      </c>
      <c r="D22" s="8" t="inlineStr">
        <is>
          <t>Mon: pick contacts · Fri: KPI report (Dashboard) to orchestrator</t>
        </is>
      </c>
      <c r="E22" s="8" t="n"/>
      <c r="F22" s="8" t="inlineStr">
        <is>
          <t>Merisa fills Dashboard yellow cells on Friday from /admin/partners.</t>
        </is>
      </c>
    </row>
    <row r="23">
      <c r="A23" s="4" t="inlineStr">
        <is>
          <t>W7</t>
        </is>
      </c>
      <c r="B23" s="5" t="n">
        <v>46363</v>
      </c>
      <c r="C23" s="4" t="inlineStr">
        <is>
          <t>Merisa</t>
        </is>
      </c>
      <c r="D23" s="8" t="inlineStr">
        <is>
          <t>Second demo</t>
        </is>
      </c>
      <c r="E23" s="8" t="inlineStr">
        <is>
          <t>40 contacts</t>
        </is>
      </c>
      <c r="F23" s="8" t="inlineStr">
        <is>
          <t>Second live demo. Ask first paying customers for testimonial consent (T22). Daily ~4 h Mon–Fri: 5 helpful answers in groups (no links), 8 new admin messages (Varyant 5), follow-ups due, partner questions, check partner posts for #işbirliği.</t>
        </is>
      </c>
    </row>
    <row r="24">
      <c r="A24" s="4" t="inlineStr">
        <is>
          <t>W7</t>
        </is>
      </c>
      <c r="B24" s="5" t="n">
        <v>46363</v>
      </c>
      <c r="C24" s="4" t="inlineStr">
        <is>
          <t>Ekin</t>
        </is>
      </c>
      <c r="D24" s="8" t="inlineStr">
        <is>
          <t>Outreach</t>
        </is>
      </c>
      <c r="E24" s="8" t="inlineStr">
        <is>
          <t>15 contacts</t>
        </is>
      </c>
      <c r="F24" s="8" t="inlineStr">
        <is>
          <t>Daily ~3 h Mon–Fri: 3 X replies/quotes, 3 new messages (Varyant 6), 2 Shorts/clips a week from tutorials.</t>
        </is>
      </c>
    </row>
    <row r="25">
      <c r="A25" s="4" t="inlineStr">
        <is>
          <t>W7</t>
        </is>
      </c>
      <c r="B25" s="5" t="n">
        <v>46363</v>
      </c>
      <c r="C25" s="4" t="inlineStr">
        <is>
          <t>Weekly</t>
        </is>
      </c>
      <c r="D25" s="8" t="inlineStr">
        <is>
          <t>Mon: pick contacts · Fri: KPI report (Dashboard) to orchestrator</t>
        </is>
      </c>
      <c r="E25" s="8" t="n"/>
      <c r="F25" s="8" t="inlineStr">
        <is>
          <t>Merisa fills Dashboard yellow cells on Friday from /admin/partners.</t>
        </is>
      </c>
    </row>
    <row r="26">
      <c r="A26" s="4" t="inlineStr">
        <is>
          <t>W8</t>
        </is>
      </c>
      <c r="B26" s="5" t="n">
        <v>46370</v>
      </c>
      <c r="C26" s="4" t="inlineStr">
        <is>
          <t>Merisa</t>
        </is>
      </c>
      <c r="D26" s="8" t="inlineStr">
        <is>
          <t>Outreach</t>
        </is>
      </c>
      <c r="E26" s="8" t="inlineStr">
        <is>
          <t>40 contacts; 18 partners total; 72 activated</t>
        </is>
      </c>
      <c r="F26" s="8" t="inlineStr">
        <is>
          <t>Daily ~4 h Mon–Fri: 5 helpful answers in groups (no links), 8 new admin messages (Varyant 5), follow-ups due, partner questions, check partner posts for #işbirliği.</t>
        </is>
      </c>
    </row>
    <row r="27">
      <c r="A27" s="4" t="inlineStr">
        <is>
          <t>W8</t>
        </is>
      </c>
      <c r="B27" s="5" t="n">
        <v>46370</v>
      </c>
      <c r="C27" s="4" t="inlineStr">
        <is>
          <t>Ekin</t>
        </is>
      </c>
      <c r="D27" s="8" t="inlineStr">
        <is>
          <t>Outreach</t>
        </is>
      </c>
      <c r="E27" s="8" t="inlineStr">
        <is>
          <t>15 contacts</t>
        </is>
      </c>
      <c r="F27" s="8" t="inlineStr">
        <is>
          <t>Daily ~3 h Mon–Fri: 3 X replies/quotes, 3 new messages (Varyant 6), 2 Shorts/clips a week from tutorials.</t>
        </is>
      </c>
    </row>
    <row r="28">
      <c r="A28" s="4" t="inlineStr">
        <is>
          <t>W8</t>
        </is>
      </c>
      <c r="B28" s="5" t="n">
        <v>46370</v>
      </c>
      <c r="C28" s="4" t="inlineStr">
        <is>
          <t>Weekly</t>
        </is>
      </c>
      <c r="D28" s="8" t="inlineStr">
        <is>
          <t>Mon: pick contacts · Fri: KPI report (Dashboard) to orchestrator</t>
        </is>
      </c>
      <c r="E28" s="8" t="n"/>
      <c r="F28" s="8" t="inlineStr">
        <is>
          <t>Merisa fills Dashboard yellow cells on Friday from /admin/partners.</t>
        </is>
      </c>
    </row>
    <row r="29">
      <c r="A29" s="4" t="inlineStr">
        <is>
          <t>W9</t>
        </is>
      </c>
      <c r="B29" s="5" t="n">
        <v>46377</v>
      </c>
      <c r="C29" s="4" t="inlineStr">
        <is>
          <t>Merisa</t>
        </is>
      </c>
      <c r="D29" s="8" t="inlineStr">
        <is>
          <t>Holiday, light</t>
        </is>
      </c>
      <c r="E29" s="8" t="inlineStr">
        <is>
          <t>20 contacts</t>
        </is>
      </c>
      <c r="F29" s="8" t="inlineStr">
        <is>
          <t>Focus on onboarding new users. Daily ~4 h Mon–Fri: 5 helpful answers in groups (no links), 8 new admin messages (Varyant 5), follow-ups due, partner questions, check partner posts for #işbirliği.</t>
        </is>
      </c>
    </row>
    <row r="30">
      <c r="A30" s="4" t="inlineStr">
        <is>
          <t>W9</t>
        </is>
      </c>
      <c r="B30" s="5" t="n">
        <v>46377</v>
      </c>
      <c r="C30" s="4" t="inlineStr">
        <is>
          <t>Ekin</t>
        </is>
      </c>
      <c r="D30" s="8" t="inlineStr">
        <is>
          <t>Holiday, light</t>
        </is>
      </c>
      <c r="E30" s="8" t="inlineStr">
        <is>
          <t>8 contacts</t>
        </is>
      </c>
      <c r="F30" s="8" t="inlineStr">
        <is>
          <t>Daily ~3 h Mon–Fri: 3 X replies/quotes, 3 new messages (Varyant 6), 2 Shorts/clips a week from tutorials.</t>
        </is>
      </c>
    </row>
    <row r="31">
      <c r="A31" s="4" t="inlineStr">
        <is>
          <t>W9</t>
        </is>
      </c>
      <c r="B31" s="5" t="n">
        <v>46377</v>
      </c>
      <c r="C31" s="4" t="inlineStr">
        <is>
          <t>Weekly</t>
        </is>
      </c>
      <c r="D31" s="8" t="inlineStr">
        <is>
          <t>Mon: pick contacts · Fri: KPI report (Dashboard) to orchestrator</t>
        </is>
      </c>
      <c r="E31" s="8" t="n"/>
      <c r="F31" s="8" t="inlineStr">
        <is>
          <t>Merisa fills Dashboard yellow cells on Friday from /admin/partners.</t>
        </is>
      </c>
    </row>
    <row r="32">
      <c r="A32" s="4" t="inlineStr">
        <is>
          <t>W10</t>
        </is>
      </c>
      <c r="B32" s="5" t="n">
        <v>46384</v>
      </c>
      <c r="C32" s="4" t="inlineStr">
        <is>
          <t>Merisa</t>
        </is>
      </c>
      <c r="D32" s="8" t="inlineStr">
        <is>
          <t>Holiday, light</t>
        </is>
      </c>
      <c r="E32" s="8" t="inlineStr">
        <is>
          <t>20 contacts; 95 activated</t>
        </is>
      </c>
      <c r="F32" s="8" t="inlineStr">
        <is>
          <t>First partner payout run on 5 Jan (dry run first). Daily ~4 h Mon–Fri: 5 helpful answers in groups (no links), 8 new admin messages (Varyant 5), follow-ups due, partner questions, check partner posts for #işbirliği.</t>
        </is>
      </c>
    </row>
    <row r="33">
      <c r="A33" s="4" t="inlineStr">
        <is>
          <t>W10</t>
        </is>
      </c>
      <c r="B33" s="5" t="n">
        <v>46384</v>
      </c>
      <c r="C33" s="4" t="inlineStr">
        <is>
          <t>Ekin</t>
        </is>
      </c>
      <c r="D33" s="8" t="inlineStr">
        <is>
          <t>Holiday, light</t>
        </is>
      </c>
      <c r="E33" s="8" t="inlineStr">
        <is>
          <t>8 contacts</t>
        </is>
      </c>
      <c r="F33" s="8" t="inlineStr">
        <is>
          <t>Daily ~3 h Mon–Fri: 3 X replies/quotes, 3 new messages (Varyant 6), 2 Shorts/clips a week from tutorials.</t>
        </is>
      </c>
    </row>
    <row r="34">
      <c r="A34" s="4" t="inlineStr">
        <is>
          <t>W10</t>
        </is>
      </c>
      <c r="B34" s="5" t="n">
        <v>46384</v>
      </c>
      <c r="C34" s="4" t="inlineStr">
        <is>
          <t>Weekly</t>
        </is>
      </c>
      <c r="D34" s="8" t="inlineStr">
        <is>
          <t>Mon: pick contacts · Fri: KPI report (Dashboard) to orchestrator</t>
        </is>
      </c>
      <c r="E34" s="8" t="n"/>
      <c r="F34" s="8" t="inlineStr">
        <is>
          <t>Merisa fills Dashboard yellow cells on Friday from /admin/partners.</t>
        </is>
      </c>
    </row>
    <row r="35">
      <c r="A35" s="4" t="inlineStr">
        <is>
          <t>W11</t>
        </is>
      </c>
      <c r="B35" s="5" t="n">
        <v>46391</v>
      </c>
      <c r="C35" s="4" t="inlineStr">
        <is>
          <t>Merisa</t>
        </is>
      </c>
      <c r="D35" s="8" t="inlineStr">
        <is>
          <t>Gate review</t>
        </is>
      </c>
      <c r="E35" s="8" t="inlineStr">
        <is>
          <t>100 activated, ≥5 paying</t>
        </is>
      </c>
      <c r="F35" s="8" t="inlineStr">
        <is>
          <t>Weekly KPI report = gate report to orchestrator/Atilla. Daily ~4 h Mon–Fri: 5 helpful answers in groups (no links), 8 new admin messages (Varyant 5), follow-ups due, partner questions, check partner posts for #işbirliği.</t>
        </is>
      </c>
    </row>
    <row r="36">
      <c r="A36" s="4" t="inlineStr">
        <is>
          <t>W11</t>
        </is>
      </c>
      <c r="B36" s="5" t="n">
        <v>46391</v>
      </c>
      <c r="C36" s="4" t="inlineStr">
        <is>
          <t>Ekin</t>
        </is>
      </c>
      <c r="D36" s="8" t="inlineStr">
        <is>
          <t>Gate review</t>
        </is>
      </c>
      <c r="E36" s="8" t="inlineStr">
        <is>
          <t>15 contacts</t>
        </is>
      </c>
      <c r="F36" s="8" t="inlineStr">
        <is>
          <t>If gate passed: plan Instagram (T23). Daily ~3 h Mon–Fri: 3 X replies/quotes, 3 new messages (Varyant 6), 2 Shorts/clips a week from tutorials.</t>
        </is>
      </c>
    </row>
    <row r="37">
      <c r="A37" s="4" t="inlineStr">
        <is>
          <t>W11</t>
        </is>
      </c>
      <c r="B37" s="5" t="n">
        <v>46391</v>
      </c>
      <c r="C37" s="4" t="inlineStr">
        <is>
          <t>Weekly</t>
        </is>
      </c>
      <c r="D37" s="8" t="inlineStr">
        <is>
          <t>Mon: pick contacts · Fri: KPI report (Dashboard) to orchestrator</t>
        </is>
      </c>
      <c r="E37" s="8" t="n"/>
      <c r="F37" s="8" t="inlineStr">
        <is>
          <t>Merisa fills Dashboard yellow cells on Friday from /admin/partners.</t>
        </is>
      </c>
    </row>
    <row r="38">
      <c r="A38" s="4" t="inlineStr">
        <is>
          <t>W12</t>
        </is>
      </c>
      <c r="B38" s="5" t="n">
        <v>46398</v>
      </c>
      <c r="C38" s="4" t="inlineStr">
        <is>
          <t>Merisa</t>
        </is>
      </c>
      <c r="D38" s="8" t="inlineStr">
        <is>
          <t>Phase 2 (if gate passed)</t>
        </is>
      </c>
      <c r="E38" s="8" t="inlineStr">
        <is>
          <t>Meta ads test ₺15k/month per ads-playbook</t>
        </is>
      </c>
      <c r="F38" s="8" t="inlineStr">
        <is>
          <t xml:space="preserve">Run ads per playbook; partnership intros (ShipEntegra, Paraşüt/QNB). </t>
        </is>
      </c>
    </row>
    <row r="39">
      <c r="A39" s="4" t="inlineStr">
        <is>
          <t>W12</t>
        </is>
      </c>
      <c r="B39" s="5" t="n">
        <v>46398</v>
      </c>
      <c r="C39" s="4" t="inlineStr">
        <is>
          <t>Ekin</t>
        </is>
      </c>
      <c r="D39" s="8" t="inlineStr">
        <is>
          <t>Phase 2: Instagram</t>
        </is>
      </c>
      <c r="E39" s="8" t="inlineStr">
        <is>
          <t>3 posts/week + reels</t>
        </is>
      </c>
      <c r="F39" s="8" t="inlineStr">
        <is>
          <t xml:space="preserve">Instagram from calendar-30d.md. </t>
        </is>
      </c>
    </row>
    <row r="40">
      <c r="A40" s="4" t="inlineStr">
        <is>
          <t>W12</t>
        </is>
      </c>
      <c r="B40" s="5" t="n">
        <v>46398</v>
      </c>
      <c r="C40" s="4" t="inlineStr">
        <is>
          <t>Weekly</t>
        </is>
      </c>
      <c r="D40" s="8" t="inlineStr">
        <is>
          <t>Mon: pick contacts · Fri: KPI report (Dashboard) to orchestrator</t>
        </is>
      </c>
      <c r="E40" s="8" t="n"/>
      <c r="F40" s="8" t="inlineStr">
        <is>
          <t>Merisa fills Dashboard yellow cells on Friday from /admin/partners.</t>
        </is>
      </c>
    </row>
    <row r="41">
      <c r="A41" s="4" t="inlineStr">
        <is>
          <t>W13</t>
        </is>
      </c>
      <c r="B41" s="5" t="n">
        <v>46405</v>
      </c>
      <c r="C41" s="4" t="inlineStr">
        <is>
          <t>Merisa</t>
        </is>
      </c>
      <c r="D41" s="8" t="inlineStr">
        <is>
          <t>Phase 2</t>
        </is>
      </c>
      <c r="E41" s="8" t="inlineStr">
        <is>
          <t>Google Search test ₺3–5k</t>
        </is>
      </c>
      <c r="F41" s="8" t="inlineStr">
        <is>
          <t xml:space="preserve">Valentine's/Mother's Day listing-prep content via partners. </t>
        </is>
      </c>
    </row>
    <row r="42">
      <c r="A42" s="4" t="inlineStr">
        <is>
          <t>W13</t>
        </is>
      </c>
      <c r="B42" s="5" t="n">
        <v>46405</v>
      </c>
      <c r="C42" s="4" t="inlineStr">
        <is>
          <t>Ekin</t>
        </is>
      </c>
      <c r="D42" s="8" t="inlineStr">
        <is>
          <t>Phase 2: Instagram</t>
        </is>
      </c>
      <c r="E42" s="8" t="inlineStr">
        <is>
          <t>3 posts/week + reels</t>
        </is>
      </c>
      <c r="F42" s="8" t="inlineStr"/>
    </row>
    <row r="43">
      <c r="A43" s="4" t="inlineStr">
        <is>
          <t>W13</t>
        </is>
      </c>
      <c r="B43" s="5" t="n">
        <v>46405</v>
      </c>
      <c r="C43" s="4" t="inlineStr">
        <is>
          <t>Weekly</t>
        </is>
      </c>
      <c r="D43" s="8" t="inlineStr">
        <is>
          <t>Mon: pick contacts · Fri: KPI report (Dashboard) to orchestrator</t>
        </is>
      </c>
      <c r="E43" s="8" t="n"/>
      <c r="F43" s="8" t="inlineStr">
        <is>
          <t>Merisa fills Dashboard yellow cells on Friday from /admin/partners.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34" customWidth="1" min="4" max="4"/>
    <col width="34" customWidth="1" min="5" max="5"/>
    <col width="20" customWidth="1" min="6" max="6"/>
    <col width="12" customWidth="1" min="7" max="7"/>
    <col width="12" customWidth="1" min="8" max="8"/>
    <col width="34" customWidth="1" min="9" max="9"/>
    <col width="30" customWidth="1" min="10" max="10"/>
  </cols>
  <sheetData>
    <row r="1">
      <c r="A1" s="1" t="inlineStr">
        <is>
          <t>Content calendar</t>
        </is>
      </c>
    </row>
    <row r="2">
      <c r="A2" s="2" t="inlineStr">
        <is>
          <t>Blog rows come from docs/gtm/seo/content-calendar.md (drafted by Claude gtm-overhaul, fact-checked by Merisa). Channel / Owner / Status are dropdowns.</t>
        </is>
      </c>
    </row>
    <row r="4" ht="32" customHeight="1">
      <c r="A4" s="3" t="inlineStr">
        <is>
          <t>Date</t>
        </is>
      </c>
      <c r="B4" s="3" t="inlineStr">
        <is>
          <t>Channel</t>
        </is>
      </c>
      <c r="C4" s="3" t="inlineStr">
        <is>
          <t>Title / topic</t>
        </is>
      </c>
      <c r="D4" s="3" t="inlineStr">
        <is>
          <t>Primary keyword</t>
        </is>
      </c>
      <c r="E4" s="3" t="inlineStr">
        <is>
          <t>Links to</t>
        </is>
      </c>
      <c r="F4" s="3" t="inlineStr">
        <is>
          <t>Owner</t>
        </is>
      </c>
      <c r="G4" s="3" t="inlineStr">
        <is>
          <t>Fact-check</t>
        </is>
      </c>
      <c r="H4" s="3" t="inlineStr">
        <is>
          <t>Status</t>
        </is>
      </c>
      <c r="I4" s="3" t="inlineStr">
        <is>
          <t>Published link</t>
        </is>
      </c>
      <c r="J4" s="3" t="inlineStr">
        <is>
          <t>Notes</t>
        </is>
      </c>
    </row>
    <row r="5">
      <c r="A5" s="5" t="n">
        <v>46329</v>
      </c>
      <c r="B5" s="4" t="inlineStr">
        <is>
          <t>Blog</t>
        </is>
      </c>
      <c r="C5" s="8" t="inlineStr">
        <is>
          <t>Black Friday ve Cyber Monday 2026: Etsy'de indirimi kârı eritmeden kurmak</t>
        </is>
      </c>
      <c r="D5" s="4" t="inlineStr">
        <is>
          <t>etsy black friday indirimi</t>
        </is>
      </c>
      <c r="E5" s="4" t="inlineStr">
        <is>
          <t>https://kolayxport.com/cozumler/etsy-satici</t>
        </is>
      </c>
      <c r="F5" s="4" t="inlineStr">
        <is>
          <t>Claude: gtm-overhaul</t>
        </is>
      </c>
      <c r="G5" s="4" t="inlineStr">
        <is>
          <t>Merisa</t>
        </is>
      </c>
      <c r="H5" s="4" t="inlineStr">
        <is>
          <t>Draft</t>
        </is>
      </c>
      <c r="I5" s="4" t="n"/>
      <c r="J5" s="8" t="inlineStr"/>
    </row>
    <row r="6">
      <c r="A6" s="5" t="n">
        <v>46331</v>
      </c>
      <c r="B6" s="4" t="inlineStr">
        <is>
          <t>Blog</t>
        </is>
      </c>
      <c r="C6" s="8" t="inlineStr">
        <is>
          <t>Yılbaşı teslimatı için ABD ve Avrupa'ya son gönderim tarihleri (2026)</t>
        </is>
      </c>
      <c r="D6" s="4" t="inlineStr">
        <is>
          <t>yılbaşı yurtdışı kargo son gönderim tarihi</t>
        </is>
      </c>
      <c r="E6" s="4" t="inlineStr">
        <is>
          <t>https://kolayxport.com/cozumler/mikro-ihracat-kargo-etgb</t>
        </is>
      </c>
      <c r="F6" s="4" t="inlineStr">
        <is>
          <t>Claude: gtm-overhaul</t>
        </is>
      </c>
      <c r="G6" s="4" t="inlineStr">
        <is>
          <t>Merisa</t>
        </is>
      </c>
      <c r="H6" s="4" t="inlineStr">
        <is>
          <t>Draft</t>
        </is>
      </c>
      <c r="I6" s="4" t="n"/>
      <c r="J6" s="8" t="inlineStr"/>
    </row>
    <row r="7">
      <c r="A7" s="5" t="n">
        <v>46336</v>
      </c>
      <c r="B7" s="4" t="inlineStr">
        <is>
          <t>Blog</t>
        </is>
      </c>
      <c r="C7" s="8" t="inlineStr">
        <is>
          <t>Tatil sezonu ilanı: başlıkta "gift" ve "Christmas" ne zaman yazılır?</t>
        </is>
      </c>
      <c r="D7" s="4" t="inlineStr">
        <is>
          <t>etsy hediye ilanı nasıl yazılır</t>
        </is>
      </c>
      <c r="E7" s="4" t="inlineStr">
        <is>
          <t>https://kolayxport.com/cozumler/ai-ilan-optimizasyonu</t>
        </is>
      </c>
      <c r="F7" s="4" t="inlineStr">
        <is>
          <t>Claude: gtm-overhaul</t>
        </is>
      </c>
      <c r="G7" s="4" t="inlineStr">
        <is>
          <t>Merisa</t>
        </is>
      </c>
      <c r="H7" s="4" t="inlineStr">
        <is>
          <t>Draft</t>
        </is>
      </c>
      <c r="I7" s="4" t="n"/>
      <c r="J7" s="8" t="inlineStr"/>
    </row>
    <row r="8">
      <c r="A8" s="5" t="n">
        <v>46338</v>
      </c>
      <c r="B8" s="4" t="inlineStr">
        <is>
          <t>Blog</t>
        </is>
      </c>
      <c r="C8" s="8" t="inlineStr">
        <is>
          <t>ABD'ye gönderide DDP mi DDU mu? De minimis sonrası karar rehberi</t>
        </is>
      </c>
      <c r="D8" s="4" t="inlineStr">
        <is>
          <t>ddp gönderim</t>
        </is>
      </c>
      <c r="E8" s="4" t="inlineStr">
        <is>
          <t>https://kolayxport.com/blog/mikro-ihracat-rehberi-2026</t>
        </is>
      </c>
      <c r="F8" s="4" t="inlineStr">
        <is>
          <t>Claude: gtm-overhaul</t>
        </is>
      </c>
      <c r="G8" s="4" t="inlineStr">
        <is>
          <t>Merisa</t>
        </is>
      </c>
      <c r="H8" s="4" t="inlineStr">
        <is>
          <t>Draft</t>
        </is>
      </c>
      <c r="I8" s="4" t="n"/>
      <c r="J8" s="8" t="inlineStr"/>
    </row>
    <row r="9">
      <c r="A9" s="5" t="n">
        <v>46343</v>
      </c>
      <c r="B9" s="4" t="inlineStr">
        <is>
          <t>Blog</t>
        </is>
      </c>
      <c r="C9" s="8" t="inlineStr">
        <is>
          <t>HS kodu (GTİP) nasıl bulunur? Yanlış kodun yurt dışı gönderide maliyeti</t>
        </is>
      </c>
      <c r="D9" s="4" t="inlineStr">
        <is>
          <t>hs kodu nasıl bulunur</t>
        </is>
      </c>
      <c r="E9" s="4" t="inlineStr">
        <is>
          <t>https://kolayxport.com/entegrasyonlar/fedex</t>
        </is>
      </c>
      <c r="F9" s="4" t="inlineStr">
        <is>
          <t>Claude: gtm-overhaul</t>
        </is>
      </c>
      <c r="G9" s="4" t="inlineStr">
        <is>
          <t>Merisa</t>
        </is>
      </c>
      <c r="H9" s="4" t="inlineStr">
        <is>
          <t>Draft</t>
        </is>
      </c>
      <c r="I9" s="4" t="n"/>
      <c r="J9" s="8" t="inlineStr"/>
    </row>
    <row r="10">
      <c r="A10" s="5" t="n">
        <v>46345</v>
      </c>
      <c r="B10" s="4" t="inlineStr">
        <is>
          <t>Blog</t>
        </is>
      </c>
      <c r="C10" s="8" t="inlineStr">
        <is>
          <t>Etsy Ads ve Offsite Ads: sezon öncesi reklam bütçesini kâra göre ayarlamak</t>
        </is>
      </c>
      <c r="D10" s="4" t="inlineStr">
        <is>
          <t>etsy reklam nasıl verilir</t>
        </is>
      </c>
      <c r="E10" s="4" t="inlineStr">
        <is>
          <t>https://kolayxport.com/blog/etsy-kar-hesaplama</t>
        </is>
      </c>
      <c r="F10" s="4" t="inlineStr">
        <is>
          <t>Claude: gtm-overhaul</t>
        </is>
      </c>
      <c r="G10" s="4" t="inlineStr">
        <is>
          <t>Merisa</t>
        </is>
      </c>
      <c r="H10" s="4" t="inlineStr">
        <is>
          <t>Draft</t>
        </is>
      </c>
      <c r="I10" s="4" t="n"/>
      <c r="J10" s="8" t="inlineStr"/>
    </row>
    <row r="11">
      <c r="A11" s="5" t="n">
        <v>46350</v>
      </c>
      <c r="B11" s="4" t="inlineStr">
        <is>
          <t>Blog</t>
        </is>
      </c>
      <c r="C11" s="8" t="inlineStr">
        <is>
          <t>Black Friday haftası: toplu etiket, toplama listesi ve paketleme fişi</t>
        </is>
      </c>
      <c r="D11" s="4" t="inlineStr">
        <is>
          <t>toplu kargo etiketi</t>
        </is>
      </c>
      <c r="E11" s="4" t="inlineStr">
        <is>
          <t>https://kolayxport.com/cozumler/mikro-ihracat-kargo-etgb</t>
        </is>
      </c>
      <c r="F11" s="4" t="inlineStr">
        <is>
          <t>Claude: gtm-overhaul</t>
        </is>
      </c>
      <c r="G11" s="4" t="inlineStr">
        <is>
          <t>Merisa</t>
        </is>
      </c>
      <c r="H11" s="4" t="inlineStr">
        <is>
          <t>Draft</t>
        </is>
      </c>
      <c r="I11" s="4" t="n"/>
      <c r="J11" s="8" t="inlineStr"/>
    </row>
    <row r="12">
      <c r="A12" s="5" t="n">
        <v>46352</v>
      </c>
      <c r="B12" s="4" t="inlineStr">
        <is>
          <t>Blog</t>
        </is>
      </c>
      <c r="C12" s="8" t="inlineStr">
        <is>
          <t>eBay'de tatil sezonu: ilan, kargo süresi ve fiyat kontrolü</t>
        </is>
      </c>
      <c r="D12" s="4" t="inlineStr">
        <is>
          <t>ebay satış arttırma</t>
        </is>
      </c>
      <c r="E12" s="4" t="inlineStr">
        <is>
          <t>https://kolayxport.com/cozumler/ebay-satici</t>
        </is>
      </c>
      <c r="F12" s="4" t="inlineStr">
        <is>
          <t>Claude: gtm-overhaul</t>
        </is>
      </c>
      <c r="G12" s="4" t="inlineStr">
        <is>
          <t>Merisa</t>
        </is>
      </c>
      <c r="H12" s="4" t="inlineStr">
        <is>
          <t>Draft</t>
        </is>
      </c>
      <c r="I12" s="4" t="n"/>
      <c r="J12" s="8" t="inlineStr"/>
    </row>
    <row r="13">
      <c r="A13" s="5" t="n">
        <v>46357</v>
      </c>
      <c r="B13" s="4" t="inlineStr">
        <is>
          <t>Blog</t>
        </is>
      </c>
      <c r="C13" s="8" t="inlineStr">
        <is>
          <t>Cyber Week bitti: pazaryeri bazında gerçek net kârınızı çıkarın</t>
        </is>
      </c>
      <c r="D13" s="4" t="inlineStr">
        <is>
          <t>pazaryeri kar marjı hesaplama</t>
        </is>
      </c>
      <c r="E13" s="4" t="inlineStr">
        <is>
          <t>https://kolayxport.com/nasil-kullanirim/kar-raporu</t>
        </is>
      </c>
      <c r="F13" s="4" t="inlineStr">
        <is>
          <t>Claude: gtm-overhaul</t>
        </is>
      </c>
      <c r="G13" s="4" t="inlineStr">
        <is>
          <t>Merisa</t>
        </is>
      </c>
      <c r="H13" s="4" t="inlineStr">
        <is>
          <t>Draft</t>
        </is>
      </c>
      <c r="I13" s="4" t="n"/>
      <c r="J13" s="8" t="inlineStr"/>
    </row>
    <row r="14">
      <c r="A14" s="5" t="n">
        <v>46359</v>
      </c>
      <c r="B14" s="4" t="inlineStr">
        <is>
          <t>Blog</t>
        </is>
      </c>
      <c r="C14" s="8" t="inlineStr">
        <is>
          <t>"Teslim edildi ama gelmedi": yurt dışı gönderide kanıt ve önlem</t>
        </is>
      </c>
      <c r="D14" s="4" t="inlineStr">
        <is>
          <t>kargo teslim edildi görünüyor ama gelmedi</t>
        </is>
      </c>
      <c r="E14" s="4" t="inlineStr">
        <is>
          <t>https://kolayxport.com/entegrasyonlar/ups</t>
        </is>
      </c>
      <c r="F14" s="4" t="inlineStr">
        <is>
          <t>Claude: gtm-overhaul</t>
        </is>
      </c>
      <c r="G14" s="4" t="inlineStr">
        <is>
          <t>Merisa</t>
        </is>
      </c>
      <c r="H14" s="4" t="inlineStr">
        <is>
          <t>Draft</t>
        </is>
      </c>
      <c r="I14" s="4" t="n"/>
      <c r="J14" s="8" t="inlineStr"/>
    </row>
    <row r="15">
      <c r="A15" s="5" t="n">
        <v>46364</v>
      </c>
      <c r="B15" s="4" t="inlineStr">
        <is>
          <t>Blog</t>
        </is>
      </c>
      <c r="C15" s="8" t="inlineStr">
        <is>
          <t>AB'ye satışta 2026 kuralları: €3 gümrük, IOSS ve KDV</t>
        </is>
      </c>
      <c r="D15" s="4" t="inlineStr">
        <is>
          <t>ioss türkiye</t>
        </is>
      </c>
      <c r="E15" s="4" t="inlineStr">
        <is>
          <t>https://kolayxport.com/blog/mikro-ihracat-rehberi-2026</t>
        </is>
      </c>
      <c r="F15" s="4" t="inlineStr">
        <is>
          <t>Claude: gtm-overhaul</t>
        </is>
      </c>
      <c r="G15" s="4" t="inlineStr">
        <is>
          <t>Merisa</t>
        </is>
      </c>
      <c r="H15" s="4" t="inlineStr">
        <is>
          <t>Draft</t>
        </is>
      </c>
      <c r="I15" s="4" t="n"/>
      <c r="J15" s="8" t="inlineStr"/>
    </row>
    <row r="16">
      <c r="A16" s="5" t="n">
        <v>46366</v>
      </c>
      <c r="B16" s="4" t="inlineStr">
        <is>
          <t>Blog</t>
        </is>
      </c>
      <c r="C16" s="8" t="inlineStr">
        <is>
          <t>Etsy ürün fotoğrafı: boyut, 20 görsel ve 1 video</t>
        </is>
      </c>
      <c r="D16" s="4" t="inlineStr">
        <is>
          <t>etsy ürün fotoğrafı boyutu</t>
        </is>
      </c>
      <c r="E16" s="4" t="inlineStr">
        <is>
          <t>https://kolayxport.com/cozumler/ai-ilan-optimizasyonu</t>
        </is>
      </c>
      <c r="F16" s="4" t="inlineStr">
        <is>
          <t>Claude: gtm-overhaul</t>
        </is>
      </c>
      <c r="G16" s="4" t="inlineStr">
        <is>
          <t>Merisa</t>
        </is>
      </c>
      <c r="H16" s="4" t="inlineStr">
        <is>
          <t>Draft</t>
        </is>
      </c>
      <c r="I16" s="4" t="n"/>
      <c r="J16" s="8" t="inlineStr"/>
    </row>
    <row r="17">
      <c r="A17" s="5" t="n">
        <v>46371</v>
      </c>
      <c r="B17" s="4" t="inlineStr">
        <is>
          <t>Blog</t>
        </is>
      </c>
      <c r="C17" s="8" t="inlineStr">
        <is>
          <t>Son gönderim tarihinden sonra: işleme süresi, tatil modu ve alıcı mesajı</t>
        </is>
      </c>
      <c r="D17" s="4" t="inlineStr">
        <is>
          <t>etsy tatil modu</t>
        </is>
      </c>
      <c r="E17" s="4" t="inlineStr">
        <is>
          <t>https://kolayxport.com/cozumler/etsy-satici</t>
        </is>
      </c>
      <c r="F17" s="4" t="inlineStr">
        <is>
          <t>Claude: gtm-overhaul</t>
        </is>
      </c>
      <c r="G17" s="4" t="inlineStr">
        <is>
          <t>Merisa</t>
        </is>
      </c>
      <c r="H17" s="4" t="inlineStr">
        <is>
          <t>Draft</t>
        </is>
      </c>
      <c r="I17" s="4" t="n"/>
      <c r="J17" s="8" t="inlineStr"/>
    </row>
    <row r="18">
      <c r="A18" s="5" t="n">
        <v>46373</v>
      </c>
      <c r="B18" s="4" t="inlineStr">
        <is>
          <t>Blog</t>
        </is>
      </c>
      <c r="C18" s="8" t="inlineStr">
        <is>
          <t>Etsy ürünlerini eBay'de satmak: kategori, fiyat ve kargo farkları</t>
        </is>
      </c>
      <c r="D18" s="4" t="inlineStr">
        <is>
          <t>etsy ürünlerini ebay'de satmak</t>
        </is>
      </c>
      <c r="E18" s="4" t="inlineStr">
        <is>
          <t>https://kolayxport.com/nasil-kullanirim/etsy-ilanini-ebaye-kopyalama</t>
        </is>
      </c>
      <c r="F18" s="4" t="inlineStr">
        <is>
          <t>Claude: gtm-overhaul</t>
        </is>
      </c>
      <c r="G18" s="4" t="inlineStr">
        <is>
          <t>Merisa</t>
        </is>
      </c>
      <c r="H18" s="4" t="inlineStr">
        <is>
          <t>Draft</t>
        </is>
      </c>
      <c r="I18" s="4" t="n"/>
      <c r="J18" s="8" t="inlineStr"/>
    </row>
    <row r="19">
      <c r="A19" s="5" t="n">
        <v>46378</v>
      </c>
      <c r="B19" s="4" t="inlineStr">
        <is>
          <t>Blog</t>
        </is>
      </c>
      <c r="C19" s="8" t="inlineStr">
        <is>
          <t>2026'da Türk Etsy satıcılarının en sık yaşadığı 7 sorun</t>
        </is>
      </c>
      <c r="D19" s="4" t="inlineStr">
        <is>
          <t>etsy satıcı sorunları</t>
        </is>
      </c>
      <c r="E19" s="4" t="inlineStr">
        <is>
          <t>https://kolayxport.com/cozumler/etsy-satici</t>
        </is>
      </c>
      <c r="F19" s="4" t="inlineStr">
        <is>
          <t>Claude: gtm-overhaul</t>
        </is>
      </c>
      <c r="G19" s="4" t="inlineStr">
        <is>
          <t>Merisa</t>
        </is>
      </c>
      <c r="H19" s="4" t="inlineStr">
        <is>
          <t>Draft</t>
        </is>
      </c>
      <c r="I19" s="4" t="n"/>
      <c r="J19" s="8" t="inlineStr"/>
    </row>
    <row r="20">
      <c r="A20" s="5" t="n">
        <v>46380</v>
      </c>
      <c r="B20" s="4" t="inlineStr">
        <is>
          <t>Blog</t>
        </is>
      </c>
      <c r="C20" s="8" t="inlineStr">
        <is>
          <t>Etsy ödemesi gelmedi: Türkiye'den satıcı için kontrol listesi</t>
        </is>
      </c>
      <c r="D20" s="4" t="inlineStr">
        <is>
          <t>etsy ödeme ne zaman hesaba geçer</t>
        </is>
      </c>
      <c r="E20" s="4" t="inlineStr">
        <is>
          <t>https://kolayxport.com/blog/etsy-kar-hesaplama</t>
        </is>
      </c>
      <c r="F20" s="4" t="inlineStr">
        <is>
          <t>Claude: gtm-overhaul</t>
        </is>
      </c>
      <c r="G20" s="4" t="inlineStr">
        <is>
          <t>Merisa</t>
        </is>
      </c>
      <c r="H20" s="4" t="inlineStr">
        <is>
          <t>Draft</t>
        </is>
      </c>
      <c r="I20" s="4" t="n"/>
      <c r="J20" s="8" t="inlineStr"/>
    </row>
    <row r="21">
      <c r="A21" s="5" t="n">
        <v>46385</v>
      </c>
      <c r="B21" s="4" t="inlineStr">
        <is>
          <t>Blog</t>
        </is>
      </c>
      <c r="C21" s="8" t="inlineStr">
        <is>
          <t>Yıl sonu SKU düzeni: çok kanallı satışta stok karışıklığını önlemek</t>
        </is>
      </c>
      <c r="D21" s="4" t="inlineStr">
        <is>
          <t>sku nasıl oluşturulur</t>
        </is>
      </c>
      <c r="E21" s="4" t="inlineStr">
        <is>
          <t>https://kolayxport.com/nasil-kullanirim/stok-senkronu-kurulumu</t>
        </is>
      </c>
      <c r="F21" s="4" t="inlineStr">
        <is>
          <t>Claude: gtm-overhaul</t>
        </is>
      </c>
      <c r="G21" s="4" t="inlineStr">
        <is>
          <t>Merisa</t>
        </is>
      </c>
      <c r="H21" s="4" t="inlineStr">
        <is>
          <t>Draft</t>
        </is>
      </c>
      <c r="I21" s="4" t="n"/>
      <c r="J21" s="8" t="inlineStr"/>
    </row>
    <row r="22">
      <c r="A22" s="5" t="n">
        <v>46387</v>
      </c>
      <c r="B22" s="4" t="inlineStr">
        <is>
          <t>Blog</t>
        </is>
      </c>
      <c r="C22" s="8" t="inlineStr">
        <is>
          <t>2027 gümrük takvimi: ABD 1 Temmuz 2027, AB 2028</t>
        </is>
      </c>
      <c r="D22" s="4" t="inlineStr">
        <is>
          <t>de minimis nedir</t>
        </is>
      </c>
      <c r="E22" s="4" t="inlineStr">
        <is>
          <t>https://kolayxport.com/blog/mikro-ihracat-rehberi-2026</t>
        </is>
      </c>
      <c r="F22" s="4" t="inlineStr">
        <is>
          <t>Claude: gtm-overhaul</t>
        </is>
      </c>
      <c r="G22" s="4" t="inlineStr">
        <is>
          <t>Merisa</t>
        </is>
      </c>
      <c r="H22" s="4" t="inlineStr">
        <is>
          <t>Draft</t>
        </is>
      </c>
      <c r="I22" s="4" t="n"/>
      <c r="J22" s="8" t="inlineStr"/>
    </row>
    <row r="23">
      <c r="A23" s="5" t="n">
        <v>46392</v>
      </c>
      <c r="B23" s="4" t="inlineStr">
        <is>
          <t>Blog</t>
        </is>
      </c>
      <c r="C23" s="8" t="inlineStr">
        <is>
          <t>Sevgililer Günü 2027 için Etsy takvimi: ne zaman listelemeli, ne zaman göndermeli?</t>
        </is>
      </c>
      <c r="D23" s="4" t="inlineStr">
        <is>
          <t>etsy sevgililer günü</t>
        </is>
      </c>
      <c r="E23" s="4" t="inlineStr">
        <is>
          <t>https://kolayxport.com/cozumler/etsy-satici</t>
        </is>
      </c>
      <c r="F23" s="4" t="inlineStr">
        <is>
          <t>Claude: gtm-overhaul</t>
        </is>
      </c>
      <c r="G23" s="4" t="inlineStr">
        <is>
          <t>Merisa</t>
        </is>
      </c>
      <c r="H23" s="4" t="inlineStr">
        <is>
          <t>Draft</t>
        </is>
      </c>
      <c r="I23" s="4" t="n"/>
      <c r="J23" s="8" t="inlineStr"/>
    </row>
    <row r="24">
      <c r="A24" s="5" t="n">
        <v>46394</v>
      </c>
      <c r="B24" s="4" t="inlineStr">
        <is>
          <t>Blog</t>
        </is>
      </c>
      <c r="C24" s="8" t="inlineStr">
        <is>
          <t>Sevgililer Günü ürün araştırması: talebi veriyle okumak</t>
        </is>
      </c>
      <c r="D24" s="4" t="inlineStr">
        <is>
          <t>etsy de en çok ne satılır</t>
        </is>
      </c>
      <c r="E24" s="4" t="inlineStr">
        <is>
          <t>https://kolayxport.com/cozumler/urun-arastirma-arbitraj</t>
        </is>
      </c>
      <c r="F24" s="4" t="inlineStr">
        <is>
          <t>Claude: gtm-overhaul</t>
        </is>
      </c>
      <c r="G24" s="4" t="inlineStr">
        <is>
          <t>Merisa</t>
        </is>
      </c>
      <c r="H24" s="4" t="inlineStr">
        <is>
          <t>Draft</t>
        </is>
      </c>
      <c r="I24" s="4" t="n"/>
      <c r="J24" s="8" t="inlineStr"/>
    </row>
    <row r="25">
      <c r="A25" s="5" t="n">
        <v>46399</v>
      </c>
      <c r="B25" s="4" t="inlineStr">
        <is>
          <t>Blog</t>
        </is>
      </c>
      <c r="C25" s="8" t="inlineStr">
        <is>
          <t>Etsy kişiselleştirme alanı: sipariş hatalarını azaltan ayarlar</t>
        </is>
      </c>
      <c r="D25" s="4" t="inlineStr">
        <is>
          <t>etsy kişiselleştirme</t>
        </is>
      </c>
      <c r="E25" s="4" t="inlineStr">
        <is>
          <t>https://kolayxport.com/cozumler/etsy-satici</t>
        </is>
      </c>
      <c r="F25" s="4" t="inlineStr">
        <is>
          <t>Claude: gtm-overhaul</t>
        </is>
      </c>
      <c r="G25" s="4" t="inlineStr">
        <is>
          <t>Merisa</t>
        </is>
      </c>
      <c r="H25" s="4" t="inlineStr">
        <is>
          <t>Draft</t>
        </is>
      </c>
      <c r="I25" s="4" t="n"/>
      <c r="J25" s="8" t="inlineStr"/>
    </row>
    <row r="26">
      <c r="A26" s="5" t="n">
        <v>46401</v>
      </c>
      <c r="B26" s="4" t="inlineStr">
        <is>
          <t>Blog</t>
        </is>
      </c>
      <c r="C26" s="8" t="inlineStr">
        <is>
          <t>Mikro ihracatta KDV iadesi: ETGB ve e-Arşiv faturayla adım adım</t>
        </is>
      </c>
      <c r="D26" s="4" t="inlineStr">
        <is>
          <t>mikro ihracat kdv iadesi</t>
        </is>
      </c>
      <c r="E26" s="4" t="inlineStr">
        <is>
          <t>https://kolayxport.com/blog/mikro-ihracat-rehberi-2026</t>
        </is>
      </c>
      <c r="F26" s="4" t="inlineStr">
        <is>
          <t>Claude: gtm-overhaul</t>
        </is>
      </c>
      <c r="G26" s="4" t="inlineStr">
        <is>
          <t>Merisa</t>
        </is>
      </c>
      <c r="H26" s="4" t="inlineStr">
        <is>
          <t>Draft</t>
        </is>
      </c>
      <c r="I26" s="4" t="n"/>
      <c r="J26" s="8" t="inlineStr"/>
    </row>
    <row r="27">
      <c r="A27" s="5" t="n">
        <v>46406</v>
      </c>
      <c r="B27" s="4" t="inlineStr">
        <is>
          <t>Blog</t>
        </is>
      </c>
      <c r="C27" s="8" t="inlineStr">
        <is>
          <t>Etsy etiketleri nasıl yazılır: 13 etiket, 20 karakter, tekrar yok</t>
        </is>
      </c>
      <c r="D27" s="4" t="inlineStr">
        <is>
          <t>etsy etiket nasıl yazılır</t>
        </is>
      </c>
      <c r="E27" s="4" t="inlineStr">
        <is>
          <t>https://kolayxport.com/cozumler/ai-ilan-optimizasyonu</t>
        </is>
      </c>
      <c r="F27" s="4" t="inlineStr">
        <is>
          <t>Claude: gtm-overhaul</t>
        </is>
      </c>
      <c r="G27" s="4" t="inlineStr">
        <is>
          <t>Merisa</t>
        </is>
      </c>
      <c r="H27" s="4" t="inlineStr">
        <is>
          <t>Draft</t>
        </is>
      </c>
      <c r="I27" s="4" t="n"/>
      <c r="J27" s="8" t="inlineStr"/>
    </row>
    <row r="28">
      <c r="A28" s="5" t="n">
        <v>46408</v>
      </c>
      <c r="B28" s="4" t="inlineStr">
        <is>
          <t>Blog</t>
        </is>
      </c>
      <c r="C28" s="8" t="inlineStr">
        <is>
          <t>Trendyol ürününüzü Etsy'ye uyarlamak: Türkçe ilandan İngilizce ilana</t>
        </is>
      </c>
      <c r="D28" s="4" t="inlineStr">
        <is>
          <t>trendyol ürünlerini etsy'de satmak</t>
        </is>
      </c>
      <c r="E28" s="4" t="inlineStr">
        <is>
          <t>https://kolayxport.com/cozumler/trendyoldan-dunyaya</t>
        </is>
      </c>
      <c r="F28" s="4" t="inlineStr">
        <is>
          <t>Claude: gtm-overhaul</t>
        </is>
      </c>
      <c r="G28" s="4" t="inlineStr">
        <is>
          <t>Merisa</t>
        </is>
      </c>
      <c r="H28" s="4" t="inlineStr">
        <is>
          <t>Draft</t>
        </is>
      </c>
      <c r="I28" s="4" t="n"/>
      <c r="J28" s="8" t="inlineStr"/>
    </row>
    <row r="29">
      <c r="A29" s="5" t="n">
        <v>46413</v>
      </c>
      <c r="B29" s="4" t="inlineStr">
        <is>
          <t>Blog</t>
        </is>
      </c>
      <c r="C29" s="8" t="inlineStr">
        <is>
          <t>eBay'de kargo ve iade ayarları: Türkiye'den gönderen satıcı için</t>
        </is>
      </c>
      <c r="D29" s="4" t="inlineStr">
        <is>
          <t>ebay kargo ayarları</t>
        </is>
      </c>
      <c r="E29" s="4" t="inlineStr">
        <is>
          <t>https://kolayxport.com/entegrasyonlar/ebay</t>
        </is>
      </c>
      <c r="F29" s="4" t="inlineStr">
        <is>
          <t>Claude: gtm-overhaul</t>
        </is>
      </c>
      <c r="G29" s="4" t="inlineStr">
        <is>
          <t>Merisa</t>
        </is>
      </c>
      <c r="H29" s="4" t="inlineStr">
        <is>
          <t>Draft</t>
        </is>
      </c>
      <c r="I29" s="4" t="n"/>
      <c r="J29" s="8" t="inlineStr"/>
    </row>
    <row r="30">
      <c r="A30" s="5" t="n">
        <v>46415</v>
      </c>
      <c r="B30" s="4" t="inlineStr">
        <is>
          <t>Blog</t>
        </is>
      </c>
      <c r="C30" s="8" t="inlineStr">
        <is>
          <t>Q1 planı: Anneler Günü (UK 7 Mart, ABD 9 Mayıs) için ilan ve stok</t>
        </is>
      </c>
      <c r="D30" s="4" t="inlineStr">
        <is>
          <t>etsy anneler günü ürünleri</t>
        </is>
      </c>
      <c r="E30" s="4" t="inlineStr">
        <is>
          <t>https://kolayxport.com/cozumler/urun-arastirma-arbitraj</t>
        </is>
      </c>
      <c r="F30" s="4" t="inlineStr">
        <is>
          <t>Claude: gtm-overhaul</t>
        </is>
      </c>
      <c r="G30" s="4" t="inlineStr">
        <is>
          <t>Merisa</t>
        </is>
      </c>
      <c r="H30" s="4" t="inlineStr">
        <is>
          <t>Draft</t>
        </is>
      </c>
      <c r="I30" s="4" t="n"/>
      <c r="J30" s="8" t="inlineStr"/>
    </row>
    <row r="31">
      <c r="A31" s="5" t="n">
        <v>46328</v>
      </c>
      <c r="B31" s="4" t="inlineStr">
        <is>
          <t>YouTube</t>
        </is>
      </c>
      <c r="C31" s="8" t="inlineStr">
        <is>
          <t>Tutorial: etsy-baglama</t>
        </is>
      </c>
      <c r="D31" s="4" t="inlineStr"/>
      <c r="E31" s="4" t="inlineStr">
        <is>
          <t>https://kolayxport.com/nasil-kullanirim/etsy-baglama</t>
        </is>
      </c>
      <c r="F31" s="4" t="inlineStr">
        <is>
          <t>Claude: gtm-overhaul</t>
        </is>
      </c>
      <c r="G31" s="4" t="inlineStr"/>
      <c r="H31" s="4" t="inlineStr">
        <is>
          <t>Scheduled</t>
        </is>
      </c>
      <c r="I31" s="4" t="n"/>
      <c r="J31" s="8" t="inlineStr">
        <is>
          <t>Unlisted now; goes Public after Atilla's OK (T08). Some guide slugs differ; check the link</t>
        </is>
      </c>
    </row>
    <row r="32">
      <c r="A32" s="5" t="n">
        <v>46328</v>
      </c>
      <c r="B32" s="4" t="inlineStr">
        <is>
          <t>YouTube</t>
        </is>
      </c>
      <c r="C32" s="8" t="inlineStr">
        <is>
          <t>Tutorial: ai-ilan-optimizasyonu</t>
        </is>
      </c>
      <c r="D32" s="4" t="inlineStr"/>
      <c r="E32" s="4" t="inlineStr">
        <is>
          <t>https://kolayxport.com/nasil-kullanirim/ai-ilan-optimizasyonu</t>
        </is>
      </c>
      <c r="F32" s="4" t="inlineStr">
        <is>
          <t>Claude: gtm-overhaul</t>
        </is>
      </c>
      <c r="G32" s="4" t="inlineStr"/>
      <c r="H32" s="4" t="inlineStr">
        <is>
          <t>Scheduled</t>
        </is>
      </c>
      <c r="I32" s="4" t="n"/>
      <c r="J32" s="8" t="inlineStr">
        <is>
          <t>Unlisted now; goes Public after Atilla's OK (T08). Some guide slugs differ; check the link</t>
        </is>
      </c>
    </row>
    <row r="33">
      <c r="A33" s="5" t="n">
        <v>46328</v>
      </c>
      <c r="B33" s="4" t="inlineStr">
        <is>
          <t>YouTube</t>
        </is>
      </c>
      <c r="C33" s="8" t="inlineStr">
        <is>
          <t>Tutorial: ai-urun-fotografi</t>
        </is>
      </c>
      <c r="D33" s="4" t="inlineStr"/>
      <c r="E33" s="4" t="inlineStr">
        <is>
          <t>https://kolayxport.com/nasil-kullanirim/ai-urun-fotografi</t>
        </is>
      </c>
      <c r="F33" s="4" t="inlineStr">
        <is>
          <t>Claude: gtm-overhaul</t>
        </is>
      </c>
      <c r="G33" s="4" t="inlineStr"/>
      <c r="H33" s="4" t="inlineStr">
        <is>
          <t>Scheduled</t>
        </is>
      </c>
      <c r="I33" s="4" t="n"/>
      <c r="J33" s="8" t="inlineStr">
        <is>
          <t>Unlisted now; goes Public after Atilla's OK (T08). Some guide slugs differ; check the link</t>
        </is>
      </c>
    </row>
    <row r="34">
      <c r="A34" s="5" t="n">
        <v>46328</v>
      </c>
      <c r="B34" s="4" t="inlineStr">
        <is>
          <t>YouTube</t>
        </is>
      </c>
      <c r="C34" s="8" t="inlineStr">
        <is>
          <t>Tutorial: ai-urun-videosu</t>
        </is>
      </c>
      <c r="D34" s="4" t="inlineStr"/>
      <c r="E34" s="4" t="inlineStr">
        <is>
          <t>https://kolayxport.com/nasil-kullanirim/ai-urun-videosu</t>
        </is>
      </c>
      <c r="F34" s="4" t="inlineStr">
        <is>
          <t>Claude: gtm-overhaul</t>
        </is>
      </c>
      <c r="G34" s="4" t="inlineStr"/>
      <c r="H34" s="4" t="inlineStr">
        <is>
          <t>Scheduled</t>
        </is>
      </c>
      <c r="I34" s="4" t="n"/>
      <c r="J34" s="8" t="inlineStr">
        <is>
          <t>Unlisted now; goes Public after Atilla's OK (T08). Some guide slugs differ; check the link</t>
        </is>
      </c>
    </row>
    <row r="35">
      <c r="A35" s="5" t="n">
        <v>46328</v>
      </c>
      <c r="B35" s="4" t="inlineStr">
        <is>
          <t>YouTube</t>
        </is>
      </c>
      <c r="C35" s="8" t="inlineStr">
        <is>
          <t>Tutorial: etsy-ilan-olusturma</t>
        </is>
      </c>
      <c r="D35" s="4" t="inlineStr"/>
      <c r="E35" s="4" t="inlineStr">
        <is>
          <t>https://kolayxport.com/nasil-kullanirim/etsy-ilan-olusturma</t>
        </is>
      </c>
      <c r="F35" s="4" t="inlineStr">
        <is>
          <t>Claude: gtm-overhaul</t>
        </is>
      </c>
      <c r="G35" s="4" t="inlineStr"/>
      <c r="H35" s="4" t="inlineStr">
        <is>
          <t>Scheduled</t>
        </is>
      </c>
      <c r="I35" s="4" t="n"/>
      <c r="J35" s="8" t="inlineStr">
        <is>
          <t>Unlisted now; goes Public after Atilla's OK (T08). Some guide slugs differ; check the link</t>
        </is>
      </c>
    </row>
    <row r="36">
      <c r="A36" s="5" t="n">
        <v>46328</v>
      </c>
      <c r="B36" s="4" t="inlineStr">
        <is>
          <t>YouTube</t>
        </is>
      </c>
      <c r="C36" s="8" t="inlineStr">
        <is>
          <t>Tutorial: ebay-ilan-olusturma</t>
        </is>
      </c>
      <c r="D36" s="4" t="inlineStr"/>
      <c r="E36" s="4" t="inlineStr">
        <is>
          <t>https://kolayxport.com/nasil-kullanirim/ebay-ilan-olusturma</t>
        </is>
      </c>
      <c r="F36" s="4" t="inlineStr">
        <is>
          <t>Claude: gtm-overhaul</t>
        </is>
      </c>
      <c r="G36" s="4" t="inlineStr"/>
      <c r="H36" s="4" t="inlineStr">
        <is>
          <t>Scheduled</t>
        </is>
      </c>
      <c r="I36" s="4" t="n"/>
      <c r="J36" s="8" t="inlineStr">
        <is>
          <t>Unlisted now; goes Public after Atilla's OK (T08). Some guide slugs differ; check the link</t>
        </is>
      </c>
    </row>
    <row r="37">
      <c r="A37" s="5" t="n">
        <v>46328</v>
      </c>
      <c r="B37" s="4" t="inlineStr">
        <is>
          <t>YouTube</t>
        </is>
      </c>
      <c r="C37" s="8" t="inlineStr">
        <is>
          <t>Tutorial: toplu-duzenleme</t>
        </is>
      </c>
      <c r="D37" s="4" t="inlineStr"/>
      <c r="E37" s="4" t="inlineStr">
        <is>
          <t>https://kolayxport.com/nasil-kullanirim/toplu-duzenleme</t>
        </is>
      </c>
      <c r="F37" s="4" t="inlineStr">
        <is>
          <t>Claude: gtm-overhaul</t>
        </is>
      </c>
      <c r="G37" s="4" t="inlineStr"/>
      <c r="H37" s="4" t="inlineStr">
        <is>
          <t>Scheduled</t>
        </is>
      </c>
      <c r="I37" s="4" t="n"/>
      <c r="J37" s="8" t="inlineStr">
        <is>
          <t>Unlisted now; goes Public after Atilla's OK (T08). Some guide slugs differ; check the link</t>
        </is>
      </c>
    </row>
    <row r="38">
      <c r="A38" s="5" t="n">
        <v>46328</v>
      </c>
      <c r="B38" s="4" t="inlineStr">
        <is>
          <t>YouTube</t>
        </is>
      </c>
      <c r="C38" s="8" t="inlineStr">
        <is>
          <t>Tutorial: anahtar-kelime-arastirmasi</t>
        </is>
      </c>
      <c r="D38" s="4" t="inlineStr"/>
      <c r="E38" s="4" t="inlineStr">
        <is>
          <t>https://kolayxport.com/nasil-kullanirim/anahtar-kelime-arastirmasi</t>
        </is>
      </c>
      <c r="F38" s="4" t="inlineStr">
        <is>
          <t>Claude: gtm-overhaul</t>
        </is>
      </c>
      <c r="G38" s="4" t="inlineStr"/>
      <c r="H38" s="4" t="inlineStr">
        <is>
          <t>Scheduled</t>
        </is>
      </c>
      <c r="I38" s="4" t="n"/>
      <c r="J38" s="8" t="inlineStr">
        <is>
          <t>Unlisted now; goes Public after Atilla's OK (T08). Some guide slugs differ; check the link</t>
        </is>
      </c>
    </row>
    <row r="39">
      <c r="A39" s="5" t="n">
        <v>46328</v>
      </c>
      <c r="B39" s="4" t="inlineStr">
        <is>
          <t>YouTube</t>
        </is>
      </c>
      <c r="C39" s="8" t="inlineStr">
        <is>
          <t>Tutorial: arbitraj-taramasi</t>
        </is>
      </c>
      <c r="D39" s="4" t="inlineStr"/>
      <c r="E39" s="4" t="inlineStr">
        <is>
          <t>https://kolayxport.com/nasil-kullanirim/arbitraj-taramasi</t>
        </is>
      </c>
      <c r="F39" s="4" t="inlineStr">
        <is>
          <t>Claude: gtm-overhaul</t>
        </is>
      </c>
      <c r="G39" s="4" t="inlineStr"/>
      <c r="H39" s="4" t="inlineStr">
        <is>
          <t>Scheduled</t>
        </is>
      </c>
      <c r="I39" s="4" t="n"/>
      <c r="J39" s="8" t="inlineStr">
        <is>
          <t>Unlisted now; goes Public after Atilla's OK (T08). Some guide slugs differ; check the link</t>
        </is>
      </c>
    </row>
    <row r="40">
      <c r="A40" s="5" t="n">
        <v>46328</v>
      </c>
      <c r="B40" s="4" t="inlineStr">
        <is>
          <t>YouTube</t>
        </is>
      </c>
      <c r="C40" s="8" t="inlineStr">
        <is>
          <t>Tutorial: chrome-eklentisi</t>
        </is>
      </c>
      <c r="D40" s="4" t="inlineStr"/>
      <c r="E40" s="4" t="inlineStr">
        <is>
          <t>https://kolayxport.com/nasil-kullanirim/chrome-eklentisi</t>
        </is>
      </c>
      <c r="F40" s="4" t="inlineStr">
        <is>
          <t>Claude: gtm-overhaul</t>
        </is>
      </c>
      <c r="G40" s="4" t="inlineStr"/>
      <c r="H40" s="4" t="inlineStr">
        <is>
          <t>Scheduled</t>
        </is>
      </c>
      <c r="I40" s="4" t="n"/>
      <c r="J40" s="8" t="inlineStr">
        <is>
          <t>Unlisted now; goes Public after Atilla's OK (T08). Some guide slugs differ; check the link</t>
        </is>
      </c>
    </row>
    <row r="41">
      <c r="A41" s="5" t="n">
        <v>46328</v>
      </c>
      <c r="B41" s="4" t="inlineStr">
        <is>
          <t>YouTube</t>
        </is>
      </c>
      <c r="C41" s="8" t="inlineStr">
        <is>
          <t>Tutorial: etgb-ve-e-arsiv</t>
        </is>
      </c>
      <c r="D41" s="4" t="inlineStr"/>
      <c r="E41" s="4" t="inlineStr">
        <is>
          <t>https://kolayxport.com/nasil-kullanirim/etgb-ve-e-arsiv</t>
        </is>
      </c>
      <c r="F41" s="4" t="inlineStr">
        <is>
          <t>Claude: gtm-overhaul</t>
        </is>
      </c>
      <c r="G41" s="4" t="inlineStr"/>
      <c r="H41" s="4" t="inlineStr">
        <is>
          <t>Scheduled</t>
        </is>
      </c>
      <c r="I41" s="4" t="n"/>
      <c r="J41" s="8" t="inlineStr">
        <is>
          <t>Unlisted now; goes Public after Atilla's OK (T08). Some guide slugs differ; check the link</t>
        </is>
      </c>
    </row>
    <row r="42">
      <c r="A42" s="5" t="n">
        <v>46328</v>
      </c>
      <c r="B42" s="4" t="inlineStr">
        <is>
          <t>YouTube</t>
        </is>
      </c>
      <c r="C42" s="8" t="inlineStr">
        <is>
          <t>Tutorial: kar-raporu</t>
        </is>
      </c>
      <c r="D42" s="4" t="inlineStr"/>
      <c r="E42" s="4" t="inlineStr">
        <is>
          <t>https://kolayxport.com/nasil-kullanirim/kar-raporu</t>
        </is>
      </c>
      <c r="F42" s="4" t="inlineStr">
        <is>
          <t>Claude: gtm-overhaul</t>
        </is>
      </c>
      <c r="G42" s="4" t="inlineStr"/>
      <c r="H42" s="4" t="inlineStr">
        <is>
          <t>Scheduled</t>
        </is>
      </c>
      <c r="I42" s="4" t="n"/>
      <c r="J42" s="8" t="inlineStr">
        <is>
          <t>Unlisted now; goes Public after Atilla's OK (T08). Some guide slugs differ; check the link</t>
        </is>
      </c>
    </row>
    <row r="43">
      <c r="A43" s="5" t="n">
        <v>46328</v>
      </c>
      <c r="B43" s="4" t="inlineStr">
        <is>
          <t>YouTube</t>
        </is>
      </c>
      <c r="C43" s="8" t="inlineStr">
        <is>
          <t>Tutorial: mesaj-kutusu-ai-yanit</t>
        </is>
      </c>
      <c r="D43" s="4" t="inlineStr"/>
      <c r="E43" s="4" t="inlineStr">
        <is>
          <t>https://kolayxport.com/nasil-kullanirim/mesaj-kutusu-ai-yanit</t>
        </is>
      </c>
      <c r="F43" s="4" t="inlineStr">
        <is>
          <t>Claude: gtm-overhaul</t>
        </is>
      </c>
      <c r="G43" s="4" t="inlineStr"/>
      <c r="H43" s="4" t="inlineStr">
        <is>
          <t>Scheduled</t>
        </is>
      </c>
      <c r="I43" s="4" t="n"/>
      <c r="J43" s="8" t="inlineStr">
        <is>
          <t>Unlisted now; goes Public after Atilla's OK (T08). Some guide slugs differ; check the link</t>
        </is>
      </c>
    </row>
    <row r="44">
      <c r="A44" s="5" t="n">
        <v>46328</v>
      </c>
      <c r="B44" s="4" t="inlineStr">
        <is>
          <t>YouTube</t>
        </is>
      </c>
      <c r="C44" s="8" t="inlineStr">
        <is>
          <t>Tutorial: siparisler-ve-etiket</t>
        </is>
      </c>
      <c r="D44" s="4" t="inlineStr"/>
      <c r="E44" s="4" t="inlineStr">
        <is>
          <t>https://kolayxport.com/nasil-kullanirim/siparisler-ve-etiket</t>
        </is>
      </c>
      <c r="F44" s="4" t="inlineStr">
        <is>
          <t>Claude: gtm-overhaul</t>
        </is>
      </c>
      <c r="G44" s="4" t="inlineStr"/>
      <c r="H44" s="4" t="inlineStr">
        <is>
          <t>Scheduled</t>
        </is>
      </c>
      <c r="I44" s="4" t="n"/>
      <c r="J44" s="8" t="inlineStr">
        <is>
          <t>Unlisted now; goes Public after Atilla's OK (T08). Some guide slugs differ; check the link</t>
        </is>
      </c>
    </row>
    <row r="45">
      <c r="A45" s="5" t="n">
        <v>46328</v>
      </c>
      <c r="B45" s="4" t="inlineStr">
        <is>
          <t>YouTube</t>
        </is>
      </c>
      <c r="C45" s="8" t="inlineStr">
        <is>
          <t>Tutorial: stok-senkronu</t>
        </is>
      </c>
      <c r="D45" s="4" t="inlineStr"/>
      <c r="E45" s="4" t="inlineStr">
        <is>
          <t>https://kolayxport.com/nasil-kullanirim/stok-senkronu</t>
        </is>
      </c>
      <c r="F45" s="4" t="inlineStr">
        <is>
          <t>Claude: gtm-overhaul</t>
        </is>
      </c>
      <c r="G45" s="4" t="inlineStr"/>
      <c r="H45" s="4" t="inlineStr">
        <is>
          <t>Scheduled</t>
        </is>
      </c>
      <c r="I45" s="4" t="n"/>
      <c r="J45" s="8" t="inlineStr">
        <is>
          <t>Unlisted now; goes Public after Atilla's OK (T08). Some guide slugs differ; check the link</t>
        </is>
      </c>
    </row>
    <row r="46">
      <c r="A46" s="5" t="n"/>
      <c r="B46" s="4" t="n"/>
      <c r="C46" s="8" t="n"/>
      <c r="D46" s="4" t="n"/>
      <c r="E46" s="4" t="n"/>
      <c r="F46" s="4" t="n"/>
      <c r="G46" s="4" t="n"/>
      <c r="H46" s="4" t="n"/>
      <c r="I46" s="4" t="n"/>
      <c r="J46" s="8" t="n"/>
    </row>
    <row r="47">
      <c r="A47" s="5" t="n"/>
      <c r="B47" s="4" t="n"/>
      <c r="C47" s="8" t="n"/>
      <c r="D47" s="4" t="n"/>
      <c r="E47" s="4" t="n"/>
      <c r="F47" s="4" t="n"/>
      <c r="G47" s="4" t="n"/>
      <c r="H47" s="4" t="n"/>
      <c r="I47" s="4" t="n"/>
      <c r="J47" s="8" t="n"/>
    </row>
    <row r="48">
      <c r="A48" s="5" t="n"/>
      <c r="B48" s="4" t="n"/>
      <c r="C48" s="8" t="n"/>
      <c r="D48" s="4" t="n"/>
      <c r="E48" s="4" t="n"/>
      <c r="F48" s="4" t="n"/>
      <c r="G48" s="4" t="n"/>
      <c r="H48" s="4" t="n"/>
      <c r="I48" s="4" t="n"/>
      <c r="J48" s="8" t="n"/>
    </row>
    <row r="49">
      <c r="A49" s="5" t="n"/>
      <c r="B49" s="4" t="n"/>
      <c r="C49" s="8" t="n"/>
      <c r="D49" s="4" t="n"/>
      <c r="E49" s="4" t="n"/>
      <c r="F49" s="4" t="n"/>
      <c r="G49" s="4" t="n"/>
      <c r="H49" s="4" t="n"/>
      <c r="I49" s="4" t="n"/>
      <c r="J49" s="8" t="n"/>
    </row>
    <row r="50">
      <c r="A50" s="5" t="n"/>
      <c r="B50" s="4" t="n"/>
      <c r="C50" s="8" t="n"/>
      <c r="D50" s="4" t="n"/>
      <c r="E50" s="4" t="n"/>
      <c r="F50" s="4" t="n"/>
      <c r="G50" s="4" t="n"/>
      <c r="H50" s="4" t="n"/>
      <c r="I50" s="4" t="n"/>
      <c r="J50" s="8" t="n"/>
    </row>
    <row r="51">
      <c r="A51" s="5" t="n"/>
      <c r="B51" s="4" t="n"/>
      <c r="C51" s="8" t="n"/>
      <c r="D51" s="4" t="n"/>
      <c r="E51" s="4" t="n"/>
      <c r="F51" s="4" t="n"/>
      <c r="G51" s="4" t="n"/>
      <c r="H51" s="4" t="n"/>
      <c r="I51" s="4" t="n"/>
      <c r="J51" s="8" t="n"/>
    </row>
    <row r="52">
      <c r="A52" s="5" t="n"/>
      <c r="B52" s="4" t="n"/>
      <c r="C52" s="8" t="n"/>
      <c r="D52" s="4" t="n"/>
      <c r="E52" s="4" t="n"/>
      <c r="F52" s="4" t="n"/>
      <c r="G52" s="4" t="n"/>
      <c r="H52" s="4" t="n"/>
      <c r="I52" s="4" t="n"/>
      <c r="J52" s="8" t="n"/>
    </row>
    <row r="53">
      <c r="A53" s="5" t="n"/>
      <c r="B53" s="4" t="n"/>
      <c r="C53" s="8" t="n"/>
      <c r="D53" s="4" t="n"/>
      <c r="E53" s="4" t="n"/>
      <c r="F53" s="4" t="n"/>
      <c r="G53" s="4" t="n"/>
      <c r="H53" s="4" t="n"/>
      <c r="I53" s="4" t="n"/>
      <c r="J53" s="8" t="n"/>
    </row>
    <row r="54">
      <c r="A54" s="5" t="n"/>
      <c r="B54" s="4" t="n"/>
      <c r="C54" s="8" t="n"/>
      <c r="D54" s="4" t="n"/>
      <c r="E54" s="4" t="n"/>
      <c r="F54" s="4" t="n"/>
      <c r="G54" s="4" t="n"/>
      <c r="H54" s="4" t="n"/>
      <c r="I54" s="4" t="n"/>
      <c r="J54" s="8" t="n"/>
    </row>
    <row r="55">
      <c r="A55" s="5" t="n"/>
      <c r="B55" s="4" t="n"/>
      <c r="C55" s="8" t="n"/>
      <c r="D55" s="4" t="n"/>
      <c r="E55" s="4" t="n"/>
      <c r="F55" s="4" t="n"/>
      <c r="G55" s="4" t="n"/>
      <c r="H55" s="4" t="n"/>
      <c r="I55" s="4" t="n"/>
      <c r="J55" s="8" t="n"/>
    </row>
    <row r="56">
      <c r="A56" s="5" t="n"/>
      <c r="B56" s="4" t="n"/>
      <c r="C56" s="8" t="n"/>
      <c r="D56" s="4" t="n"/>
      <c r="E56" s="4" t="n"/>
      <c r="F56" s="4" t="n"/>
      <c r="G56" s="4" t="n"/>
      <c r="H56" s="4" t="n"/>
      <c r="I56" s="4" t="n"/>
      <c r="J56" s="8" t="n"/>
    </row>
    <row r="57">
      <c r="A57" s="5" t="n"/>
      <c r="B57" s="4" t="n"/>
      <c r="C57" s="8" t="n"/>
      <c r="D57" s="4" t="n"/>
      <c r="E57" s="4" t="n"/>
      <c r="F57" s="4" t="n"/>
      <c r="G57" s="4" t="n"/>
      <c r="H57" s="4" t="n"/>
      <c r="I57" s="4" t="n"/>
      <c r="J57" s="8" t="n"/>
    </row>
    <row r="58">
      <c r="A58" s="5" t="n"/>
      <c r="B58" s="4" t="n"/>
      <c r="C58" s="8" t="n"/>
      <c r="D58" s="4" t="n"/>
      <c r="E58" s="4" t="n"/>
      <c r="F58" s="4" t="n"/>
      <c r="G58" s="4" t="n"/>
      <c r="H58" s="4" t="n"/>
      <c r="I58" s="4" t="n"/>
      <c r="J58" s="8" t="n"/>
    </row>
    <row r="59">
      <c r="A59" s="5" t="n"/>
      <c r="B59" s="4" t="n"/>
      <c r="C59" s="8" t="n"/>
      <c r="D59" s="4" t="n"/>
      <c r="E59" s="4" t="n"/>
      <c r="F59" s="4" t="n"/>
      <c r="G59" s="4" t="n"/>
      <c r="H59" s="4" t="n"/>
      <c r="I59" s="4" t="n"/>
      <c r="J59" s="8" t="n"/>
    </row>
    <row r="60">
      <c r="A60" s="5" t="n"/>
      <c r="B60" s="4" t="n"/>
      <c r="C60" s="8" t="n"/>
      <c r="D60" s="4" t="n"/>
      <c r="E60" s="4" t="n"/>
      <c r="F60" s="4" t="n"/>
      <c r="G60" s="4" t="n"/>
      <c r="H60" s="4" t="n"/>
      <c r="I60" s="4" t="n"/>
      <c r="J60" s="8" t="n"/>
    </row>
    <row r="61">
      <c r="A61" s="5" t="n"/>
      <c r="B61" s="4" t="n"/>
      <c r="C61" s="8" t="n"/>
      <c r="D61" s="4" t="n"/>
      <c r="E61" s="4" t="n"/>
      <c r="F61" s="4" t="n"/>
      <c r="G61" s="4" t="n"/>
      <c r="H61" s="4" t="n"/>
      <c r="I61" s="4" t="n"/>
      <c r="J61" s="8" t="n"/>
    </row>
    <row r="62">
      <c r="A62" s="5" t="n"/>
      <c r="B62" s="4" t="n"/>
      <c r="C62" s="8" t="n"/>
      <c r="D62" s="4" t="n"/>
      <c r="E62" s="4" t="n"/>
      <c r="F62" s="4" t="n"/>
      <c r="G62" s="4" t="n"/>
      <c r="H62" s="4" t="n"/>
      <c r="I62" s="4" t="n"/>
      <c r="J62" s="8" t="n"/>
    </row>
    <row r="63">
      <c r="A63" s="5" t="n"/>
      <c r="B63" s="4" t="n"/>
      <c r="C63" s="8" t="n"/>
      <c r="D63" s="4" t="n"/>
      <c r="E63" s="4" t="n"/>
      <c r="F63" s="4" t="n"/>
      <c r="G63" s="4" t="n"/>
      <c r="H63" s="4" t="n"/>
      <c r="I63" s="4" t="n"/>
      <c r="J63" s="8" t="n"/>
    </row>
    <row r="64">
      <c r="A64" s="5" t="n"/>
      <c r="B64" s="4" t="n"/>
      <c r="C64" s="8" t="n"/>
      <c r="D64" s="4" t="n"/>
      <c r="E64" s="4" t="n"/>
      <c r="F64" s="4" t="n"/>
      <c r="G64" s="4" t="n"/>
      <c r="H64" s="4" t="n"/>
      <c r="I64" s="4" t="n"/>
      <c r="J64" s="8" t="n"/>
    </row>
    <row r="65">
      <c r="A65" s="5" t="n"/>
      <c r="B65" s="4" t="n"/>
      <c r="C65" s="8" t="n"/>
      <c r="D65" s="4" t="n"/>
      <c r="E65" s="4" t="n"/>
      <c r="F65" s="4" t="n"/>
      <c r="G65" s="4" t="n"/>
      <c r="H65" s="4" t="n"/>
      <c r="I65" s="4" t="n"/>
      <c r="J65" s="8" t="n"/>
    </row>
    <row r="66">
      <c r="A66" s="5" t="n"/>
      <c r="B66" s="4" t="n"/>
      <c r="C66" s="8" t="n"/>
      <c r="D66" s="4" t="n"/>
      <c r="E66" s="4" t="n"/>
      <c r="F66" s="4" t="n"/>
      <c r="G66" s="4" t="n"/>
      <c r="H66" s="4" t="n"/>
      <c r="I66" s="4" t="n"/>
      <c r="J66" s="8" t="n"/>
    </row>
    <row r="67">
      <c r="A67" s="5" t="n"/>
      <c r="B67" s="4" t="n"/>
      <c r="C67" s="8" t="n"/>
      <c r="D67" s="4" t="n"/>
      <c r="E67" s="4" t="n"/>
      <c r="F67" s="4" t="n"/>
      <c r="G67" s="4" t="n"/>
      <c r="H67" s="4" t="n"/>
      <c r="I67" s="4" t="n"/>
      <c r="J67" s="8" t="n"/>
    </row>
    <row r="68">
      <c r="A68" s="5" t="n"/>
      <c r="B68" s="4" t="n"/>
      <c r="C68" s="8" t="n"/>
      <c r="D68" s="4" t="n"/>
      <c r="E68" s="4" t="n"/>
      <c r="F68" s="4" t="n"/>
      <c r="G68" s="4" t="n"/>
      <c r="H68" s="4" t="n"/>
      <c r="I68" s="4" t="n"/>
      <c r="J68" s="8" t="n"/>
    </row>
    <row r="69">
      <c r="A69" s="5" t="n"/>
      <c r="B69" s="4" t="n"/>
      <c r="C69" s="8" t="n"/>
      <c r="D69" s="4" t="n"/>
      <c r="E69" s="4" t="n"/>
      <c r="F69" s="4" t="n"/>
      <c r="G69" s="4" t="n"/>
      <c r="H69" s="4" t="n"/>
      <c r="I69" s="4" t="n"/>
      <c r="J69" s="8" t="n"/>
    </row>
    <row r="70">
      <c r="A70" s="5" t="n"/>
      <c r="B70" s="4" t="n"/>
      <c r="C70" s="8" t="n"/>
      <c r="D70" s="4" t="n"/>
      <c r="E70" s="4" t="n"/>
      <c r="F70" s="4" t="n"/>
      <c r="G70" s="4" t="n"/>
      <c r="H70" s="4" t="n"/>
      <c r="I70" s="4" t="n"/>
      <c r="J70" s="8" t="n"/>
    </row>
    <row r="71">
      <c r="A71" s="5" t="n"/>
      <c r="B71" s="4" t="n"/>
      <c r="C71" s="8" t="n"/>
      <c r="D71" s="4" t="n"/>
      <c r="E71" s="4" t="n"/>
      <c r="F71" s="4" t="n"/>
      <c r="G71" s="4" t="n"/>
      <c r="H71" s="4" t="n"/>
      <c r="I71" s="4" t="n"/>
      <c r="J71" s="8" t="n"/>
    </row>
    <row r="72">
      <c r="A72" s="5" t="n"/>
      <c r="B72" s="4" t="n"/>
      <c r="C72" s="8" t="n"/>
      <c r="D72" s="4" t="n"/>
      <c r="E72" s="4" t="n"/>
      <c r="F72" s="4" t="n"/>
      <c r="G72" s="4" t="n"/>
      <c r="H72" s="4" t="n"/>
      <c r="I72" s="4" t="n"/>
      <c r="J72" s="8" t="n"/>
    </row>
    <row r="73">
      <c r="A73" s="5" t="n"/>
      <c r="B73" s="4" t="n"/>
      <c r="C73" s="8" t="n"/>
      <c r="D73" s="4" t="n"/>
      <c r="E73" s="4" t="n"/>
      <c r="F73" s="4" t="n"/>
      <c r="G73" s="4" t="n"/>
      <c r="H73" s="4" t="n"/>
      <c r="I73" s="4" t="n"/>
      <c r="J73" s="8" t="n"/>
    </row>
    <row r="74">
      <c r="A74" s="5" t="n"/>
      <c r="B74" s="4" t="n"/>
      <c r="C74" s="8" t="n"/>
      <c r="D74" s="4" t="n"/>
      <c r="E74" s="4" t="n"/>
      <c r="F74" s="4" t="n"/>
      <c r="G74" s="4" t="n"/>
      <c r="H74" s="4" t="n"/>
      <c r="I74" s="4" t="n"/>
      <c r="J74" s="8" t="n"/>
    </row>
    <row r="75">
      <c r="A75" s="5" t="n"/>
      <c r="B75" s="4" t="n"/>
      <c r="C75" s="8" t="n"/>
      <c r="D75" s="4" t="n"/>
      <c r="E75" s="4" t="n"/>
      <c r="F75" s="4" t="n"/>
      <c r="G75" s="4" t="n"/>
      <c r="H75" s="4" t="n"/>
      <c r="I75" s="4" t="n"/>
      <c r="J75" s="8" t="n"/>
    </row>
    <row r="76">
      <c r="A76" s="5" t="n"/>
      <c r="B76" s="4" t="n"/>
      <c r="C76" s="8" t="n"/>
      <c r="D76" s="4" t="n"/>
      <c r="E76" s="4" t="n"/>
      <c r="F76" s="4" t="n"/>
      <c r="G76" s="4" t="n"/>
      <c r="H76" s="4" t="n"/>
      <c r="I76" s="4" t="n"/>
      <c r="J76" s="8" t="n"/>
    </row>
    <row r="77">
      <c r="A77" s="5" t="n"/>
      <c r="B77" s="4" t="n"/>
      <c r="C77" s="8" t="n"/>
      <c r="D77" s="4" t="n"/>
      <c r="E77" s="4" t="n"/>
      <c r="F77" s="4" t="n"/>
      <c r="G77" s="4" t="n"/>
      <c r="H77" s="4" t="n"/>
      <c r="I77" s="4" t="n"/>
      <c r="J77" s="8" t="n"/>
    </row>
    <row r="78">
      <c r="A78" s="5" t="n"/>
      <c r="B78" s="4" t="n"/>
      <c r="C78" s="8" t="n"/>
      <c r="D78" s="4" t="n"/>
      <c r="E78" s="4" t="n"/>
      <c r="F78" s="4" t="n"/>
      <c r="G78" s="4" t="n"/>
      <c r="H78" s="4" t="n"/>
      <c r="I78" s="4" t="n"/>
      <c r="J78" s="8" t="n"/>
    </row>
    <row r="79">
      <c r="A79" s="5" t="n"/>
      <c r="B79" s="4" t="n"/>
      <c r="C79" s="8" t="n"/>
      <c r="D79" s="4" t="n"/>
      <c r="E79" s="4" t="n"/>
      <c r="F79" s="4" t="n"/>
      <c r="G79" s="4" t="n"/>
      <c r="H79" s="4" t="n"/>
      <c r="I79" s="4" t="n"/>
      <c r="J79" s="8" t="n"/>
    </row>
    <row r="80">
      <c r="A80" s="5" t="n"/>
      <c r="B80" s="4" t="n"/>
      <c r="C80" s="8" t="n"/>
      <c r="D80" s="4" t="n"/>
      <c r="E80" s="4" t="n"/>
      <c r="F80" s="4" t="n"/>
      <c r="G80" s="4" t="n"/>
      <c r="H80" s="4" t="n"/>
      <c r="I80" s="4" t="n"/>
      <c r="J80" s="8" t="n"/>
    </row>
    <row r="81">
      <c r="A81" s="5" t="n"/>
      <c r="B81" s="4" t="n"/>
      <c r="C81" s="8" t="n"/>
      <c r="D81" s="4" t="n"/>
      <c r="E81" s="4" t="n"/>
      <c r="F81" s="4" t="n"/>
      <c r="G81" s="4" t="n"/>
      <c r="H81" s="4" t="n"/>
      <c r="I81" s="4" t="n"/>
      <c r="J81" s="8" t="n"/>
    </row>
    <row r="82">
      <c r="A82" s="5" t="n"/>
      <c r="B82" s="4" t="n"/>
      <c r="C82" s="8" t="n"/>
      <c r="D82" s="4" t="n"/>
      <c r="E82" s="4" t="n"/>
      <c r="F82" s="4" t="n"/>
      <c r="G82" s="4" t="n"/>
      <c r="H82" s="4" t="n"/>
      <c r="I82" s="4" t="n"/>
      <c r="J82" s="8" t="n"/>
    </row>
    <row r="83">
      <c r="A83" s="5" t="n"/>
      <c r="B83" s="4" t="n"/>
      <c r="C83" s="8" t="n"/>
      <c r="D83" s="4" t="n"/>
      <c r="E83" s="4" t="n"/>
      <c r="F83" s="4" t="n"/>
      <c r="G83" s="4" t="n"/>
      <c r="H83" s="4" t="n"/>
      <c r="I83" s="4" t="n"/>
      <c r="J83" s="8" t="n"/>
    </row>
    <row r="84">
      <c r="A84" s="5" t="n"/>
      <c r="B84" s="4" t="n"/>
      <c r="C84" s="8" t="n"/>
      <c r="D84" s="4" t="n"/>
      <c r="E84" s="4" t="n"/>
      <c r="F84" s="4" t="n"/>
      <c r="G84" s="4" t="n"/>
      <c r="H84" s="4" t="n"/>
      <c r="I84" s="4" t="n"/>
      <c r="J84" s="8" t="n"/>
    </row>
    <row r="85">
      <c r="A85" s="5" t="n"/>
      <c r="B85" s="4" t="n"/>
      <c r="C85" s="8" t="n"/>
      <c r="D85" s="4" t="n"/>
      <c r="E85" s="4" t="n"/>
      <c r="F85" s="4" t="n"/>
      <c r="G85" s="4" t="n"/>
      <c r="H85" s="4" t="n"/>
      <c r="I85" s="4" t="n"/>
      <c r="J85" s="8" t="n"/>
    </row>
    <row r="86">
      <c r="A86" s="5" t="n"/>
      <c r="B86" s="4" t="n"/>
      <c r="C86" s="8" t="n"/>
      <c r="D86" s="4" t="n"/>
      <c r="E86" s="4" t="n"/>
      <c r="F86" s="4" t="n"/>
      <c r="G86" s="4" t="n"/>
      <c r="H86" s="4" t="n"/>
      <c r="I86" s="4" t="n"/>
      <c r="J86" s="8" t="n"/>
    </row>
    <row r="87">
      <c r="A87" s="5" t="n"/>
      <c r="B87" s="4" t="n"/>
      <c r="C87" s="8" t="n"/>
      <c r="D87" s="4" t="n"/>
      <c r="E87" s="4" t="n"/>
      <c r="F87" s="4" t="n"/>
      <c r="G87" s="4" t="n"/>
      <c r="H87" s="4" t="n"/>
      <c r="I87" s="4" t="n"/>
      <c r="J87" s="8" t="n"/>
    </row>
    <row r="88">
      <c r="A88" s="5" t="n"/>
      <c r="B88" s="4" t="n"/>
      <c r="C88" s="8" t="n"/>
      <c r="D88" s="4" t="n"/>
      <c r="E88" s="4" t="n"/>
      <c r="F88" s="4" t="n"/>
      <c r="G88" s="4" t="n"/>
      <c r="H88" s="4" t="n"/>
      <c r="I88" s="4" t="n"/>
      <c r="J88" s="8" t="n"/>
    </row>
    <row r="89">
      <c r="A89" s="5" t="n"/>
      <c r="B89" s="4" t="n"/>
      <c r="C89" s="8" t="n"/>
      <c r="D89" s="4" t="n"/>
      <c r="E89" s="4" t="n"/>
      <c r="F89" s="4" t="n"/>
      <c r="G89" s="4" t="n"/>
      <c r="H89" s="4" t="n"/>
      <c r="I89" s="4" t="n"/>
      <c r="J89" s="8" t="n"/>
    </row>
    <row r="90">
      <c r="A90" s="5" t="n"/>
      <c r="B90" s="4" t="n"/>
      <c r="C90" s="8" t="n"/>
      <c r="D90" s="4" t="n"/>
      <c r="E90" s="4" t="n"/>
      <c r="F90" s="4" t="n"/>
      <c r="G90" s="4" t="n"/>
      <c r="H90" s="4" t="n"/>
      <c r="I90" s="4" t="n"/>
      <c r="J90" s="8" t="n"/>
    </row>
    <row r="91">
      <c r="A91" s="5" t="n"/>
      <c r="B91" s="4" t="n"/>
      <c r="C91" s="8" t="n"/>
      <c r="D91" s="4" t="n"/>
      <c r="E91" s="4" t="n"/>
      <c r="F91" s="4" t="n"/>
      <c r="G91" s="4" t="n"/>
      <c r="H91" s="4" t="n"/>
      <c r="I91" s="4" t="n"/>
      <c r="J91" s="8" t="n"/>
    </row>
    <row r="92">
      <c r="A92" s="5" t="n"/>
      <c r="B92" s="4" t="n"/>
      <c r="C92" s="8" t="n"/>
      <c r="D92" s="4" t="n"/>
      <c r="E92" s="4" t="n"/>
      <c r="F92" s="4" t="n"/>
      <c r="G92" s="4" t="n"/>
      <c r="H92" s="4" t="n"/>
      <c r="I92" s="4" t="n"/>
      <c r="J92" s="8" t="n"/>
    </row>
    <row r="93">
      <c r="A93" s="5" t="n"/>
      <c r="B93" s="4" t="n"/>
      <c r="C93" s="8" t="n"/>
      <c r="D93" s="4" t="n"/>
      <c r="E93" s="4" t="n"/>
      <c r="F93" s="4" t="n"/>
      <c r="G93" s="4" t="n"/>
      <c r="H93" s="4" t="n"/>
      <c r="I93" s="4" t="n"/>
      <c r="J93" s="8" t="n"/>
    </row>
    <row r="94">
      <c r="A94" s="5" t="n"/>
      <c r="B94" s="4" t="n"/>
      <c r="C94" s="8" t="n"/>
      <c r="D94" s="4" t="n"/>
      <c r="E94" s="4" t="n"/>
      <c r="F94" s="4" t="n"/>
      <c r="G94" s="4" t="n"/>
      <c r="H94" s="4" t="n"/>
      <c r="I94" s="4" t="n"/>
      <c r="J94" s="8" t="n"/>
    </row>
    <row r="95">
      <c r="A95" s="5" t="n"/>
      <c r="B95" s="4" t="n"/>
      <c r="C95" s="8" t="n"/>
      <c r="D95" s="4" t="n"/>
      <c r="E95" s="4" t="n"/>
      <c r="F95" s="4" t="n"/>
      <c r="G95" s="4" t="n"/>
      <c r="H95" s="4" t="n"/>
      <c r="I95" s="4" t="n"/>
      <c r="J95" s="8" t="n"/>
    </row>
    <row r="96">
      <c r="A96" s="5" t="n"/>
      <c r="B96" s="4" t="n"/>
      <c r="C96" s="8" t="n"/>
      <c r="D96" s="4" t="n"/>
      <c r="E96" s="4" t="n"/>
      <c r="F96" s="4" t="n"/>
      <c r="G96" s="4" t="n"/>
      <c r="H96" s="4" t="n"/>
      <c r="I96" s="4" t="n"/>
      <c r="J96" s="8" t="n"/>
    </row>
    <row r="97">
      <c r="A97" s="5" t="n"/>
      <c r="B97" s="4" t="n"/>
      <c r="C97" s="8" t="n"/>
      <c r="D97" s="4" t="n"/>
      <c r="E97" s="4" t="n"/>
      <c r="F97" s="4" t="n"/>
      <c r="G97" s="4" t="n"/>
      <c r="H97" s="4" t="n"/>
      <c r="I97" s="4" t="n"/>
      <c r="J97" s="8" t="n"/>
    </row>
    <row r="98">
      <c r="A98" s="5" t="n"/>
      <c r="B98" s="4" t="n"/>
      <c r="C98" s="8" t="n"/>
      <c r="D98" s="4" t="n"/>
      <c r="E98" s="4" t="n"/>
      <c r="F98" s="4" t="n"/>
      <c r="G98" s="4" t="n"/>
      <c r="H98" s="4" t="n"/>
      <c r="I98" s="4" t="n"/>
      <c r="J98" s="8" t="n"/>
    </row>
    <row r="99">
      <c r="A99" s="5" t="n"/>
      <c r="B99" s="4" t="n"/>
      <c r="C99" s="8" t="n"/>
      <c r="D99" s="4" t="n"/>
      <c r="E99" s="4" t="n"/>
      <c r="F99" s="4" t="n"/>
      <c r="G99" s="4" t="n"/>
      <c r="H99" s="4" t="n"/>
      <c r="I99" s="4" t="n"/>
      <c r="J99" s="8" t="n"/>
    </row>
    <row r="100">
      <c r="A100" s="5" t="n"/>
      <c r="B100" s="4" t="n"/>
      <c r="C100" s="8" t="n"/>
      <c r="D100" s="4" t="n"/>
      <c r="E100" s="4" t="n"/>
      <c r="F100" s="4" t="n"/>
      <c r="G100" s="4" t="n"/>
      <c r="H100" s="4" t="n"/>
      <c r="I100" s="4" t="n"/>
      <c r="J100" s="8" t="n"/>
    </row>
    <row r="101">
      <c r="A101" s="5" t="n"/>
      <c r="B101" s="4" t="n"/>
      <c r="C101" s="8" t="n"/>
      <c r="D101" s="4" t="n"/>
      <c r="E101" s="4" t="n"/>
      <c r="F101" s="4" t="n"/>
      <c r="G101" s="4" t="n"/>
      <c r="H101" s="4" t="n"/>
      <c r="I101" s="4" t="n"/>
      <c r="J101" s="8" t="n"/>
    </row>
    <row r="102">
      <c r="A102" s="5" t="n"/>
      <c r="B102" s="4" t="n"/>
      <c r="C102" s="8" t="n"/>
      <c r="D102" s="4" t="n"/>
      <c r="E102" s="4" t="n"/>
      <c r="F102" s="4" t="n"/>
      <c r="G102" s="4" t="n"/>
      <c r="H102" s="4" t="n"/>
      <c r="I102" s="4" t="n"/>
      <c r="J102" s="8" t="n"/>
    </row>
    <row r="103">
      <c r="A103" s="5" t="n"/>
      <c r="B103" s="4" t="n"/>
      <c r="C103" s="8" t="n"/>
      <c r="D103" s="4" t="n"/>
      <c r="E103" s="4" t="n"/>
      <c r="F103" s="4" t="n"/>
      <c r="G103" s="4" t="n"/>
      <c r="H103" s="4" t="n"/>
      <c r="I103" s="4" t="n"/>
      <c r="J103" s="8" t="n"/>
    </row>
    <row r="104">
      <c r="A104" s="5" t="n"/>
      <c r="B104" s="4" t="n"/>
      <c r="C104" s="8" t="n"/>
      <c r="D104" s="4" t="n"/>
      <c r="E104" s="4" t="n"/>
      <c r="F104" s="4" t="n"/>
      <c r="G104" s="4" t="n"/>
      <c r="H104" s="4" t="n"/>
      <c r="I104" s="4" t="n"/>
      <c r="J104" s="8" t="n"/>
    </row>
    <row r="105">
      <c r="A105" s="5" t="n"/>
      <c r="B105" s="4" t="n"/>
      <c r="C105" s="8" t="n"/>
      <c r="D105" s="4" t="n"/>
      <c r="E105" s="4" t="n"/>
      <c r="F105" s="4" t="n"/>
      <c r="G105" s="4" t="n"/>
      <c r="H105" s="4" t="n"/>
      <c r="I105" s="4" t="n"/>
      <c r="J105" s="8" t="n"/>
    </row>
    <row r="106">
      <c r="A106" s="5" t="n"/>
      <c r="B106" s="4" t="n"/>
      <c r="C106" s="8" t="n"/>
      <c r="D106" s="4" t="n"/>
      <c r="E106" s="4" t="n"/>
      <c r="F106" s="4" t="n"/>
      <c r="G106" s="4" t="n"/>
      <c r="H106" s="4" t="n"/>
      <c r="I106" s="4" t="n"/>
      <c r="J106" s="8" t="n"/>
    </row>
    <row r="107">
      <c r="A107" s="5" t="n"/>
      <c r="B107" s="4" t="n"/>
      <c r="C107" s="8" t="n"/>
      <c r="D107" s="4" t="n"/>
      <c r="E107" s="4" t="n"/>
      <c r="F107" s="4" t="n"/>
      <c r="G107" s="4" t="n"/>
      <c r="H107" s="4" t="n"/>
      <c r="I107" s="4" t="n"/>
      <c r="J107" s="8" t="n"/>
    </row>
    <row r="108">
      <c r="A108" s="5" t="n"/>
      <c r="B108" s="4" t="n"/>
      <c r="C108" s="8" t="n"/>
      <c r="D108" s="4" t="n"/>
      <c r="E108" s="4" t="n"/>
      <c r="F108" s="4" t="n"/>
      <c r="G108" s="4" t="n"/>
      <c r="H108" s="4" t="n"/>
      <c r="I108" s="4" t="n"/>
      <c r="J108" s="8" t="n"/>
    </row>
    <row r="109">
      <c r="A109" s="5" t="n"/>
      <c r="B109" s="4" t="n"/>
      <c r="C109" s="8" t="n"/>
      <c r="D109" s="4" t="n"/>
      <c r="E109" s="4" t="n"/>
      <c r="F109" s="4" t="n"/>
      <c r="G109" s="4" t="n"/>
      <c r="H109" s="4" t="n"/>
      <c r="I109" s="4" t="n"/>
      <c r="J109" s="8" t="n"/>
    </row>
    <row r="110">
      <c r="A110" s="5" t="n"/>
      <c r="B110" s="4" t="n"/>
      <c r="C110" s="8" t="n"/>
      <c r="D110" s="4" t="n"/>
      <c r="E110" s="4" t="n"/>
      <c r="F110" s="4" t="n"/>
      <c r="G110" s="4" t="n"/>
      <c r="H110" s="4" t="n"/>
      <c r="I110" s="4" t="n"/>
      <c r="J110" s="8" t="n"/>
    </row>
    <row r="111">
      <c r="A111" s="5" t="n"/>
      <c r="B111" s="4" t="n"/>
      <c r="C111" s="8" t="n"/>
      <c r="D111" s="4" t="n"/>
      <c r="E111" s="4" t="n"/>
      <c r="F111" s="4" t="n"/>
      <c r="G111" s="4" t="n"/>
      <c r="H111" s="4" t="n"/>
      <c r="I111" s="4" t="n"/>
      <c r="J111" s="8" t="n"/>
    </row>
    <row r="112">
      <c r="A112" s="5" t="n"/>
      <c r="B112" s="4" t="n"/>
      <c r="C112" s="8" t="n"/>
      <c r="D112" s="4" t="n"/>
      <c r="E112" s="4" t="n"/>
      <c r="F112" s="4" t="n"/>
      <c r="G112" s="4" t="n"/>
      <c r="H112" s="4" t="n"/>
      <c r="I112" s="4" t="n"/>
      <c r="J112" s="8" t="n"/>
    </row>
    <row r="113">
      <c r="A113" s="5" t="n"/>
      <c r="B113" s="4" t="n"/>
      <c r="C113" s="8" t="n"/>
      <c r="D113" s="4" t="n"/>
      <c r="E113" s="4" t="n"/>
      <c r="F113" s="4" t="n"/>
      <c r="G113" s="4" t="n"/>
      <c r="H113" s="4" t="n"/>
      <c r="I113" s="4" t="n"/>
      <c r="J113" s="8" t="n"/>
    </row>
    <row r="114">
      <c r="A114" s="5" t="n"/>
      <c r="B114" s="4" t="n"/>
      <c r="C114" s="8" t="n"/>
      <c r="D114" s="4" t="n"/>
      <c r="E114" s="4" t="n"/>
      <c r="F114" s="4" t="n"/>
      <c r="G114" s="4" t="n"/>
      <c r="H114" s="4" t="n"/>
      <c r="I114" s="4" t="n"/>
      <c r="J114" s="8" t="n"/>
    </row>
    <row r="115">
      <c r="A115" s="5" t="n"/>
      <c r="B115" s="4" t="n"/>
      <c r="C115" s="8" t="n"/>
      <c r="D115" s="4" t="n"/>
      <c r="E115" s="4" t="n"/>
      <c r="F115" s="4" t="n"/>
      <c r="G115" s="4" t="n"/>
      <c r="H115" s="4" t="n"/>
      <c r="I115" s="4" t="n"/>
      <c r="J115" s="8" t="n"/>
    </row>
    <row r="116">
      <c r="A116" s="5" t="n"/>
      <c r="B116" s="4" t="n"/>
      <c r="C116" s="8" t="n"/>
      <c r="D116" s="4" t="n"/>
      <c r="E116" s="4" t="n"/>
      <c r="F116" s="4" t="n"/>
      <c r="G116" s="4" t="n"/>
      <c r="H116" s="4" t="n"/>
      <c r="I116" s="4" t="n"/>
      <c r="J116" s="8" t="n"/>
    </row>
    <row r="117">
      <c r="A117" s="5" t="n"/>
      <c r="B117" s="4" t="n"/>
      <c r="C117" s="8" t="n"/>
      <c r="D117" s="4" t="n"/>
      <c r="E117" s="4" t="n"/>
      <c r="F117" s="4" t="n"/>
      <c r="G117" s="4" t="n"/>
      <c r="H117" s="4" t="n"/>
      <c r="I117" s="4" t="n"/>
      <c r="J117" s="8" t="n"/>
    </row>
    <row r="118">
      <c r="A118" s="5" t="n"/>
      <c r="B118" s="4" t="n"/>
      <c r="C118" s="8" t="n"/>
      <c r="D118" s="4" t="n"/>
      <c r="E118" s="4" t="n"/>
      <c r="F118" s="4" t="n"/>
      <c r="G118" s="4" t="n"/>
      <c r="H118" s="4" t="n"/>
      <c r="I118" s="4" t="n"/>
      <c r="J118" s="8" t="n"/>
    </row>
    <row r="119">
      <c r="A119" s="5" t="n"/>
      <c r="B119" s="4" t="n"/>
      <c r="C119" s="8" t="n"/>
      <c r="D119" s="4" t="n"/>
      <c r="E119" s="4" t="n"/>
      <c r="F119" s="4" t="n"/>
      <c r="G119" s="4" t="n"/>
      <c r="H119" s="4" t="n"/>
      <c r="I119" s="4" t="n"/>
      <c r="J119" s="8" t="n"/>
    </row>
    <row r="120">
      <c r="A120" s="5" t="n"/>
      <c r="B120" s="4" t="n"/>
      <c r="C120" s="8" t="n"/>
      <c r="D120" s="4" t="n"/>
      <c r="E120" s="4" t="n"/>
      <c r="F120" s="4" t="n"/>
      <c r="G120" s="4" t="n"/>
      <c r="H120" s="4" t="n"/>
      <c r="I120" s="4" t="n"/>
      <c r="J120" s="8" t="n"/>
    </row>
    <row r="121">
      <c r="A121" s="5" t="n"/>
      <c r="B121" s="4" t="n"/>
      <c r="C121" s="8" t="n"/>
      <c r="D121" s="4" t="n"/>
      <c r="E121" s="4" t="n"/>
      <c r="F121" s="4" t="n"/>
      <c r="G121" s="4" t="n"/>
      <c r="H121" s="4" t="n"/>
      <c r="I121" s="4" t="n"/>
      <c r="J121" s="8" t="n"/>
    </row>
    <row r="122">
      <c r="A122" s="5" t="n"/>
      <c r="B122" s="4" t="n"/>
      <c r="C122" s="8" t="n"/>
      <c r="D122" s="4" t="n"/>
      <c r="E122" s="4" t="n"/>
      <c r="F122" s="4" t="n"/>
      <c r="G122" s="4" t="n"/>
      <c r="H122" s="4" t="n"/>
      <c r="I122" s="4" t="n"/>
      <c r="J122" s="8" t="n"/>
    </row>
    <row r="123">
      <c r="A123" s="5" t="n"/>
      <c r="B123" s="4" t="n"/>
      <c r="C123" s="8" t="n"/>
      <c r="D123" s="4" t="n"/>
      <c r="E123" s="4" t="n"/>
      <c r="F123" s="4" t="n"/>
      <c r="G123" s="4" t="n"/>
      <c r="H123" s="4" t="n"/>
      <c r="I123" s="4" t="n"/>
      <c r="J123" s="8" t="n"/>
    </row>
    <row r="124">
      <c r="A124" s="5" t="n"/>
      <c r="B124" s="4" t="n"/>
      <c r="C124" s="8" t="n"/>
      <c r="D124" s="4" t="n"/>
      <c r="E124" s="4" t="n"/>
      <c r="F124" s="4" t="n"/>
      <c r="G124" s="4" t="n"/>
      <c r="H124" s="4" t="n"/>
      <c r="I124" s="4" t="n"/>
      <c r="J124" s="8" t="n"/>
    </row>
    <row r="125">
      <c r="A125" s="5" t="n"/>
      <c r="B125" s="4" t="n"/>
      <c r="C125" s="8" t="n"/>
      <c r="D125" s="4" t="n"/>
      <c r="E125" s="4" t="n"/>
      <c r="F125" s="4" t="n"/>
      <c r="G125" s="4" t="n"/>
      <c r="H125" s="4" t="n"/>
      <c r="I125" s="4" t="n"/>
      <c r="J125" s="8" t="n"/>
    </row>
    <row r="126">
      <c r="A126" s="5" t="n"/>
      <c r="B126" s="4" t="n"/>
      <c r="C126" s="8" t="n"/>
      <c r="D126" s="4" t="n"/>
      <c r="E126" s="4" t="n"/>
      <c r="F126" s="4" t="n"/>
      <c r="G126" s="4" t="n"/>
      <c r="H126" s="4" t="n"/>
      <c r="I126" s="4" t="n"/>
      <c r="J126" s="8" t="n"/>
    </row>
    <row r="127">
      <c r="A127" s="5" t="n"/>
      <c r="B127" s="4" t="n"/>
      <c r="C127" s="8" t="n"/>
      <c r="D127" s="4" t="n"/>
      <c r="E127" s="4" t="n"/>
      <c r="F127" s="4" t="n"/>
      <c r="G127" s="4" t="n"/>
      <c r="H127" s="4" t="n"/>
      <c r="I127" s="4" t="n"/>
      <c r="J127" s="8" t="n"/>
    </row>
    <row r="128">
      <c r="A128" s="5" t="n"/>
      <c r="B128" s="4" t="n"/>
      <c r="C128" s="8" t="n"/>
      <c r="D128" s="4" t="n"/>
      <c r="E128" s="4" t="n"/>
      <c r="F128" s="4" t="n"/>
      <c r="G128" s="4" t="n"/>
      <c r="H128" s="4" t="n"/>
      <c r="I128" s="4" t="n"/>
      <c r="J128" s="8" t="n"/>
    </row>
    <row r="129">
      <c r="A129" s="5" t="n"/>
      <c r="B129" s="4" t="n"/>
      <c r="C129" s="8" t="n"/>
      <c r="D129" s="4" t="n"/>
      <c r="E129" s="4" t="n"/>
      <c r="F129" s="4" t="n"/>
      <c r="G129" s="4" t="n"/>
      <c r="H129" s="4" t="n"/>
      <c r="I129" s="4" t="n"/>
      <c r="J129" s="8" t="n"/>
    </row>
    <row r="130">
      <c r="A130" s="5" t="n"/>
      <c r="B130" s="4" t="n"/>
      <c r="C130" s="8" t="n"/>
      <c r="D130" s="4" t="n"/>
      <c r="E130" s="4" t="n"/>
      <c r="F130" s="4" t="n"/>
      <c r="G130" s="4" t="n"/>
      <c r="H130" s="4" t="n"/>
      <c r="I130" s="4" t="n"/>
      <c r="J130" s="8" t="n"/>
    </row>
    <row r="131">
      <c r="A131" s="5" t="n"/>
      <c r="B131" s="4" t="n"/>
      <c r="C131" s="8" t="n"/>
      <c r="D131" s="4" t="n"/>
      <c r="E131" s="4" t="n"/>
      <c r="F131" s="4" t="n"/>
      <c r="G131" s="4" t="n"/>
      <c r="H131" s="4" t="n"/>
      <c r="I131" s="4" t="n"/>
      <c r="J131" s="8" t="n"/>
    </row>
    <row r="132">
      <c r="A132" s="5" t="n"/>
      <c r="B132" s="4" t="n"/>
      <c r="C132" s="8" t="n"/>
      <c r="D132" s="4" t="n"/>
      <c r="E132" s="4" t="n"/>
      <c r="F132" s="4" t="n"/>
      <c r="G132" s="4" t="n"/>
      <c r="H132" s="4" t="n"/>
      <c r="I132" s="4" t="n"/>
      <c r="J132" s="8" t="n"/>
    </row>
    <row r="133">
      <c r="A133" s="5" t="n"/>
      <c r="B133" s="4" t="n"/>
      <c r="C133" s="8" t="n"/>
      <c r="D133" s="4" t="n"/>
      <c r="E133" s="4" t="n"/>
      <c r="F133" s="4" t="n"/>
      <c r="G133" s="4" t="n"/>
      <c r="H133" s="4" t="n"/>
      <c r="I133" s="4" t="n"/>
      <c r="J133" s="8" t="n"/>
    </row>
    <row r="134">
      <c r="A134" s="5" t="n"/>
      <c r="B134" s="4" t="n"/>
      <c r="C134" s="8" t="n"/>
      <c r="D134" s="4" t="n"/>
      <c r="E134" s="4" t="n"/>
      <c r="F134" s="4" t="n"/>
      <c r="G134" s="4" t="n"/>
      <c r="H134" s="4" t="n"/>
      <c r="I134" s="4" t="n"/>
      <c r="J134" s="8" t="n"/>
    </row>
    <row r="135">
      <c r="A135" s="5" t="n"/>
      <c r="B135" s="4" t="n"/>
      <c r="C135" s="8" t="n"/>
      <c r="D135" s="4" t="n"/>
      <c r="E135" s="4" t="n"/>
      <c r="F135" s="4" t="n"/>
      <c r="G135" s="4" t="n"/>
      <c r="H135" s="4" t="n"/>
      <c r="I135" s="4" t="n"/>
      <c r="J135" s="8" t="n"/>
    </row>
    <row r="136">
      <c r="A136" s="5" t="n"/>
      <c r="B136" s="4" t="n"/>
      <c r="C136" s="8" t="n"/>
      <c r="D136" s="4" t="n"/>
      <c r="E136" s="4" t="n"/>
      <c r="F136" s="4" t="n"/>
      <c r="G136" s="4" t="n"/>
      <c r="H136" s="4" t="n"/>
      <c r="I136" s="4" t="n"/>
      <c r="J136" s="8" t="n"/>
    </row>
    <row r="137">
      <c r="A137" s="5" t="n"/>
      <c r="B137" s="4" t="n"/>
      <c r="C137" s="8" t="n"/>
      <c r="D137" s="4" t="n"/>
      <c r="E137" s="4" t="n"/>
      <c r="F137" s="4" t="n"/>
      <c r="G137" s="4" t="n"/>
      <c r="H137" s="4" t="n"/>
      <c r="I137" s="4" t="n"/>
      <c r="J137" s="8" t="n"/>
    </row>
    <row r="138">
      <c r="A138" s="5" t="n"/>
      <c r="B138" s="4" t="n"/>
      <c r="C138" s="8" t="n"/>
      <c r="D138" s="4" t="n"/>
      <c r="E138" s="4" t="n"/>
      <c r="F138" s="4" t="n"/>
      <c r="G138" s="4" t="n"/>
      <c r="H138" s="4" t="n"/>
      <c r="I138" s="4" t="n"/>
      <c r="J138" s="8" t="n"/>
    </row>
    <row r="139">
      <c r="A139" s="5" t="n"/>
      <c r="B139" s="4" t="n"/>
      <c r="C139" s="8" t="n"/>
      <c r="D139" s="4" t="n"/>
      <c r="E139" s="4" t="n"/>
      <c r="F139" s="4" t="n"/>
      <c r="G139" s="4" t="n"/>
      <c r="H139" s="4" t="n"/>
      <c r="I139" s="4" t="n"/>
      <c r="J139" s="8" t="n"/>
    </row>
    <row r="140">
      <c r="A140" s="5" t="n"/>
      <c r="B140" s="4" t="n"/>
      <c r="C140" s="8" t="n"/>
      <c r="D140" s="4" t="n"/>
      <c r="E140" s="4" t="n"/>
      <c r="F140" s="4" t="n"/>
      <c r="G140" s="4" t="n"/>
      <c r="H140" s="4" t="n"/>
      <c r="I140" s="4" t="n"/>
      <c r="J140" s="8" t="n"/>
    </row>
    <row r="141">
      <c r="A141" s="5" t="n"/>
      <c r="B141" s="4" t="n"/>
      <c r="C141" s="8" t="n"/>
      <c r="D141" s="4" t="n"/>
      <c r="E141" s="4" t="n"/>
      <c r="F141" s="4" t="n"/>
      <c r="G141" s="4" t="n"/>
      <c r="H141" s="4" t="n"/>
      <c r="I141" s="4" t="n"/>
      <c r="J141" s="8" t="n"/>
    </row>
    <row r="142">
      <c r="A142" s="5" t="n"/>
      <c r="B142" s="4" t="n"/>
      <c r="C142" s="8" t="n"/>
      <c r="D142" s="4" t="n"/>
      <c r="E142" s="4" t="n"/>
      <c r="F142" s="4" t="n"/>
      <c r="G142" s="4" t="n"/>
      <c r="H142" s="4" t="n"/>
      <c r="I142" s="4" t="n"/>
      <c r="J142" s="8" t="n"/>
    </row>
    <row r="143">
      <c r="A143" s="5" t="n"/>
      <c r="B143" s="4" t="n"/>
      <c r="C143" s="8" t="n"/>
      <c r="D143" s="4" t="n"/>
      <c r="E143" s="4" t="n"/>
      <c r="F143" s="4" t="n"/>
      <c r="G143" s="4" t="n"/>
      <c r="H143" s="4" t="n"/>
      <c r="I143" s="4" t="n"/>
      <c r="J143" s="8" t="n"/>
    </row>
    <row r="144">
      <c r="A144" s="5" t="n"/>
      <c r="B144" s="4" t="n"/>
      <c r="C144" s="8" t="n"/>
      <c r="D144" s="4" t="n"/>
      <c r="E144" s="4" t="n"/>
      <c r="F144" s="4" t="n"/>
      <c r="G144" s="4" t="n"/>
      <c r="H144" s="4" t="n"/>
      <c r="I144" s="4" t="n"/>
      <c r="J144" s="8" t="n"/>
    </row>
    <row r="145">
      <c r="A145" s="5" t="n"/>
      <c r="B145" s="4" t="n"/>
      <c r="C145" s="8" t="n"/>
      <c r="D145" s="4" t="n"/>
      <c r="E145" s="4" t="n"/>
      <c r="F145" s="4" t="n"/>
      <c r="G145" s="4" t="n"/>
      <c r="H145" s="4" t="n"/>
      <c r="I145" s="4" t="n"/>
      <c r="J145" s="8" t="n"/>
    </row>
    <row r="146">
      <c r="A146" s="5" t="n"/>
      <c r="B146" s="4" t="n"/>
      <c r="C146" s="8" t="n"/>
      <c r="D146" s="4" t="n"/>
      <c r="E146" s="4" t="n"/>
      <c r="F146" s="4" t="n"/>
      <c r="G146" s="4" t="n"/>
      <c r="H146" s="4" t="n"/>
      <c r="I146" s="4" t="n"/>
      <c r="J146" s="8" t="n"/>
    </row>
    <row r="147">
      <c r="A147" s="5" t="n"/>
      <c r="B147" s="4" t="n"/>
      <c r="C147" s="8" t="n"/>
      <c r="D147" s="4" t="n"/>
      <c r="E147" s="4" t="n"/>
      <c r="F147" s="4" t="n"/>
      <c r="G147" s="4" t="n"/>
      <c r="H147" s="4" t="n"/>
      <c r="I147" s="4" t="n"/>
      <c r="J147" s="8" t="n"/>
    </row>
    <row r="148">
      <c r="A148" s="5" t="n"/>
      <c r="B148" s="4" t="n"/>
      <c r="C148" s="8" t="n"/>
      <c r="D148" s="4" t="n"/>
      <c r="E148" s="4" t="n"/>
      <c r="F148" s="4" t="n"/>
      <c r="G148" s="4" t="n"/>
      <c r="H148" s="4" t="n"/>
      <c r="I148" s="4" t="n"/>
      <c r="J148" s="8" t="n"/>
    </row>
    <row r="149">
      <c r="A149" s="5" t="n"/>
      <c r="B149" s="4" t="n"/>
      <c r="C149" s="8" t="n"/>
      <c r="D149" s="4" t="n"/>
      <c r="E149" s="4" t="n"/>
      <c r="F149" s="4" t="n"/>
      <c r="G149" s="4" t="n"/>
      <c r="H149" s="4" t="n"/>
      <c r="I149" s="4" t="n"/>
      <c r="J149" s="8" t="n"/>
    </row>
    <row r="150">
      <c r="A150" s="5" t="n"/>
      <c r="B150" s="4" t="n"/>
      <c r="C150" s="8" t="n"/>
      <c r="D150" s="4" t="n"/>
      <c r="E150" s="4" t="n"/>
      <c r="F150" s="4" t="n"/>
      <c r="G150" s="4" t="n"/>
      <c r="H150" s="4" t="n"/>
      <c r="I150" s="4" t="n"/>
      <c r="J150" s="8" t="n"/>
    </row>
    <row r="151">
      <c r="A151" s="5" t="n"/>
      <c r="B151" s="4" t="n"/>
      <c r="C151" s="8" t="n"/>
      <c r="D151" s="4" t="n"/>
      <c r="E151" s="4" t="n"/>
      <c r="F151" s="4" t="n"/>
      <c r="G151" s="4" t="n"/>
      <c r="H151" s="4" t="n"/>
      <c r="I151" s="4" t="n"/>
      <c r="J151" s="8" t="n"/>
    </row>
    <row r="152">
      <c r="A152" s="5" t="n"/>
      <c r="B152" s="4" t="n"/>
      <c r="C152" s="8" t="n"/>
      <c r="D152" s="4" t="n"/>
      <c r="E152" s="4" t="n"/>
      <c r="F152" s="4" t="n"/>
      <c r="G152" s="4" t="n"/>
      <c r="H152" s="4" t="n"/>
      <c r="I152" s="4" t="n"/>
      <c r="J152" s="8" t="n"/>
    </row>
    <row r="153">
      <c r="A153" s="5" t="n"/>
      <c r="B153" s="4" t="n"/>
      <c r="C153" s="8" t="n"/>
      <c r="D153" s="4" t="n"/>
      <c r="E153" s="4" t="n"/>
      <c r="F153" s="4" t="n"/>
      <c r="G153" s="4" t="n"/>
      <c r="H153" s="4" t="n"/>
      <c r="I153" s="4" t="n"/>
      <c r="J153" s="8" t="n"/>
    </row>
    <row r="154">
      <c r="A154" s="5" t="n"/>
      <c r="B154" s="4" t="n"/>
      <c r="C154" s="8" t="n"/>
      <c r="D154" s="4" t="n"/>
      <c r="E154" s="4" t="n"/>
      <c r="F154" s="4" t="n"/>
      <c r="G154" s="4" t="n"/>
      <c r="H154" s="4" t="n"/>
      <c r="I154" s="4" t="n"/>
      <c r="J154" s="8" t="n"/>
    </row>
    <row r="155">
      <c r="A155" s="5" t="n"/>
      <c r="B155" s="4" t="n"/>
      <c r="C155" s="8" t="n"/>
      <c r="D155" s="4" t="n"/>
      <c r="E155" s="4" t="n"/>
      <c r="F155" s="4" t="n"/>
      <c r="G155" s="4" t="n"/>
      <c r="H155" s="4" t="n"/>
      <c r="I155" s="4" t="n"/>
      <c r="J155" s="8" t="n"/>
    </row>
    <row r="156">
      <c r="A156" s="5" t="n"/>
      <c r="B156" s="4" t="n"/>
      <c r="C156" s="8" t="n"/>
      <c r="D156" s="4" t="n"/>
      <c r="E156" s="4" t="n"/>
      <c r="F156" s="4" t="n"/>
      <c r="G156" s="4" t="n"/>
      <c r="H156" s="4" t="n"/>
      <c r="I156" s="4" t="n"/>
      <c r="J156" s="8" t="n"/>
    </row>
    <row r="157">
      <c r="A157" s="5" t="n"/>
      <c r="B157" s="4" t="n"/>
      <c r="C157" s="8" t="n"/>
      <c r="D157" s="4" t="n"/>
      <c r="E157" s="4" t="n"/>
      <c r="F157" s="4" t="n"/>
      <c r="G157" s="4" t="n"/>
      <c r="H157" s="4" t="n"/>
      <c r="I157" s="4" t="n"/>
      <c r="J157" s="8" t="n"/>
    </row>
    <row r="158">
      <c r="A158" s="5" t="n"/>
      <c r="B158" s="4" t="n"/>
      <c r="C158" s="8" t="n"/>
      <c r="D158" s="4" t="n"/>
      <c r="E158" s="4" t="n"/>
      <c r="F158" s="4" t="n"/>
      <c r="G158" s="4" t="n"/>
      <c r="H158" s="4" t="n"/>
      <c r="I158" s="4" t="n"/>
      <c r="J158" s="8" t="n"/>
    </row>
    <row r="159">
      <c r="A159" s="5" t="n"/>
      <c r="B159" s="4" t="n"/>
      <c r="C159" s="8" t="n"/>
      <c r="D159" s="4" t="n"/>
      <c r="E159" s="4" t="n"/>
      <c r="F159" s="4" t="n"/>
      <c r="G159" s="4" t="n"/>
      <c r="H159" s="4" t="n"/>
      <c r="I159" s="4" t="n"/>
      <c r="J159" s="8" t="n"/>
    </row>
    <row r="160">
      <c r="A160" s="5" t="n"/>
      <c r="B160" s="4" t="n"/>
      <c r="C160" s="8" t="n"/>
      <c r="D160" s="4" t="n"/>
      <c r="E160" s="4" t="n"/>
      <c r="F160" s="4" t="n"/>
      <c r="G160" s="4" t="n"/>
      <c r="H160" s="4" t="n"/>
      <c r="I160" s="4" t="n"/>
      <c r="J160" s="8" t="n"/>
    </row>
    <row r="161">
      <c r="A161" s="5" t="n"/>
      <c r="B161" s="4" t="n"/>
      <c r="C161" s="8" t="n"/>
      <c r="D161" s="4" t="n"/>
      <c r="E161" s="4" t="n"/>
      <c r="F161" s="4" t="n"/>
      <c r="G161" s="4" t="n"/>
      <c r="H161" s="4" t="n"/>
      <c r="I161" s="4" t="n"/>
      <c r="J161" s="8" t="n"/>
    </row>
    <row r="162">
      <c r="A162" s="5" t="n"/>
      <c r="B162" s="4" t="n"/>
      <c r="C162" s="8" t="n"/>
      <c r="D162" s="4" t="n"/>
      <c r="E162" s="4" t="n"/>
      <c r="F162" s="4" t="n"/>
      <c r="G162" s="4" t="n"/>
      <c r="H162" s="4" t="n"/>
      <c r="I162" s="4" t="n"/>
      <c r="J162" s="8" t="n"/>
    </row>
    <row r="163">
      <c r="A163" s="5" t="n"/>
      <c r="B163" s="4" t="n"/>
      <c r="C163" s="8" t="n"/>
      <c r="D163" s="4" t="n"/>
      <c r="E163" s="4" t="n"/>
      <c r="F163" s="4" t="n"/>
      <c r="G163" s="4" t="n"/>
      <c r="H163" s="4" t="n"/>
      <c r="I163" s="4" t="n"/>
      <c r="J163" s="8" t="n"/>
    </row>
    <row r="164">
      <c r="A164" s="5" t="n"/>
      <c r="B164" s="4" t="n"/>
      <c r="C164" s="8" t="n"/>
      <c r="D164" s="4" t="n"/>
      <c r="E164" s="4" t="n"/>
      <c r="F164" s="4" t="n"/>
      <c r="G164" s="4" t="n"/>
      <c r="H164" s="4" t="n"/>
      <c r="I164" s="4" t="n"/>
      <c r="J164" s="8" t="n"/>
    </row>
    <row r="165">
      <c r="A165" s="5" t="n"/>
      <c r="B165" s="4" t="n"/>
      <c r="C165" s="8" t="n"/>
      <c r="D165" s="4" t="n"/>
      <c r="E165" s="4" t="n"/>
      <c r="F165" s="4" t="n"/>
      <c r="G165" s="4" t="n"/>
      <c r="H165" s="4" t="n"/>
      <c r="I165" s="4" t="n"/>
      <c r="J165" s="8" t="n"/>
    </row>
    <row r="166">
      <c r="A166" s="5" t="n"/>
      <c r="B166" s="4" t="n"/>
      <c r="C166" s="8" t="n"/>
      <c r="D166" s="4" t="n"/>
      <c r="E166" s="4" t="n"/>
      <c r="F166" s="4" t="n"/>
      <c r="G166" s="4" t="n"/>
      <c r="H166" s="4" t="n"/>
      <c r="I166" s="4" t="n"/>
      <c r="J166" s="8" t="n"/>
    </row>
    <row r="167">
      <c r="A167" s="5" t="n"/>
      <c r="B167" s="4" t="n"/>
      <c r="C167" s="8" t="n"/>
      <c r="D167" s="4" t="n"/>
      <c r="E167" s="4" t="n"/>
      <c r="F167" s="4" t="n"/>
      <c r="G167" s="4" t="n"/>
      <c r="H167" s="4" t="n"/>
      <c r="I167" s="4" t="n"/>
      <c r="J167" s="8" t="n"/>
    </row>
    <row r="168">
      <c r="A168" s="5" t="n"/>
      <c r="B168" s="4" t="n"/>
      <c r="C168" s="8" t="n"/>
      <c r="D168" s="4" t="n"/>
      <c r="E168" s="4" t="n"/>
      <c r="F168" s="4" t="n"/>
      <c r="G168" s="4" t="n"/>
      <c r="H168" s="4" t="n"/>
      <c r="I168" s="4" t="n"/>
      <c r="J168" s="8" t="n"/>
    </row>
    <row r="169">
      <c r="A169" s="5" t="n"/>
      <c r="B169" s="4" t="n"/>
      <c r="C169" s="8" t="n"/>
      <c r="D169" s="4" t="n"/>
      <c r="E169" s="4" t="n"/>
      <c r="F169" s="4" t="n"/>
      <c r="G169" s="4" t="n"/>
      <c r="H169" s="4" t="n"/>
      <c r="I169" s="4" t="n"/>
      <c r="J169" s="8" t="n"/>
    </row>
    <row r="170">
      <c r="A170" s="5" t="n"/>
      <c r="B170" s="4" t="n"/>
      <c r="C170" s="8" t="n"/>
      <c r="D170" s="4" t="n"/>
      <c r="E170" s="4" t="n"/>
      <c r="F170" s="4" t="n"/>
      <c r="G170" s="4" t="n"/>
      <c r="H170" s="4" t="n"/>
      <c r="I170" s="4" t="n"/>
      <c r="J170" s="8" t="n"/>
    </row>
    <row r="171">
      <c r="A171" s="5" t="n"/>
      <c r="B171" s="4" t="n"/>
      <c r="C171" s="8" t="n"/>
      <c r="D171" s="4" t="n"/>
      <c r="E171" s="4" t="n"/>
      <c r="F171" s="4" t="n"/>
      <c r="G171" s="4" t="n"/>
      <c r="H171" s="4" t="n"/>
      <c r="I171" s="4" t="n"/>
      <c r="J171" s="8" t="n"/>
    </row>
    <row r="172">
      <c r="A172" s="5" t="n"/>
      <c r="B172" s="4" t="n"/>
      <c r="C172" s="8" t="n"/>
      <c r="D172" s="4" t="n"/>
      <c r="E172" s="4" t="n"/>
      <c r="F172" s="4" t="n"/>
      <c r="G172" s="4" t="n"/>
      <c r="H172" s="4" t="n"/>
      <c r="I172" s="4" t="n"/>
      <c r="J172" s="8" t="n"/>
    </row>
    <row r="173">
      <c r="A173" s="5" t="n"/>
      <c r="B173" s="4" t="n"/>
      <c r="C173" s="8" t="n"/>
      <c r="D173" s="4" t="n"/>
      <c r="E173" s="4" t="n"/>
      <c r="F173" s="4" t="n"/>
      <c r="G173" s="4" t="n"/>
      <c r="H173" s="4" t="n"/>
      <c r="I173" s="4" t="n"/>
      <c r="J173" s="8" t="n"/>
    </row>
    <row r="174">
      <c r="A174" s="5" t="n"/>
      <c r="B174" s="4" t="n"/>
      <c r="C174" s="8" t="n"/>
      <c r="D174" s="4" t="n"/>
      <c r="E174" s="4" t="n"/>
      <c r="F174" s="4" t="n"/>
      <c r="G174" s="4" t="n"/>
      <c r="H174" s="4" t="n"/>
      <c r="I174" s="4" t="n"/>
      <c r="J174" s="8" t="n"/>
    </row>
    <row r="175">
      <c r="A175" s="5" t="n"/>
      <c r="B175" s="4" t="n"/>
      <c r="C175" s="8" t="n"/>
      <c r="D175" s="4" t="n"/>
      <c r="E175" s="4" t="n"/>
      <c r="F175" s="4" t="n"/>
      <c r="G175" s="4" t="n"/>
      <c r="H175" s="4" t="n"/>
      <c r="I175" s="4" t="n"/>
      <c r="J175" s="8" t="n"/>
    </row>
    <row r="176">
      <c r="A176" s="5" t="n"/>
      <c r="B176" s="4" t="n"/>
      <c r="C176" s="8" t="n"/>
      <c r="D176" s="4" t="n"/>
      <c r="E176" s="4" t="n"/>
      <c r="F176" s="4" t="n"/>
      <c r="G176" s="4" t="n"/>
      <c r="H176" s="4" t="n"/>
      <c r="I176" s="4" t="n"/>
      <c r="J176" s="8" t="n"/>
    </row>
    <row r="177">
      <c r="A177" s="5" t="n"/>
      <c r="B177" s="4" t="n"/>
      <c r="C177" s="8" t="n"/>
      <c r="D177" s="4" t="n"/>
      <c r="E177" s="4" t="n"/>
      <c r="F177" s="4" t="n"/>
      <c r="G177" s="4" t="n"/>
      <c r="H177" s="4" t="n"/>
      <c r="I177" s="4" t="n"/>
      <c r="J177" s="8" t="n"/>
    </row>
    <row r="178">
      <c r="A178" s="5" t="n"/>
      <c r="B178" s="4" t="n"/>
      <c r="C178" s="8" t="n"/>
      <c r="D178" s="4" t="n"/>
      <c r="E178" s="4" t="n"/>
      <c r="F178" s="4" t="n"/>
      <c r="G178" s="4" t="n"/>
      <c r="H178" s="4" t="n"/>
      <c r="I178" s="4" t="n"/>
      <c r="J178" s="8" t="n"/>
    </row>
    <row r="179">
      <c r="A179" s="5" t="n"/>
      <c r="B179" s="4" t="n"/>
      <c r="C179" s="8" t="n"/>
      <c r="D179" s="4" t="n"/>
      <c r="E179" s="4" t="n"/>
      <c r="F179" s="4" t="n"/>
      <c r="G179" s="4" t="n"/>
      <c r="H179" s="4" t="n"/>
      <c r="I179" s="4" t="n"/>
      <c r="J179" s="8" t="n"/>
    </row>
    <row r="180">
      <c r="A180" s="5" t="n"/>
      <c r="B180" s="4" t="n"/>
      <c r="C180" s="8" t="n"/>
      <c r="D180" s="4" t="n"/>
      <c r="E180" s="4" t="n"/>
      <c r="F180" s="4" t="n"/>
      <c r="G180" s="4" t="n"/>
      <c r="H180" s="4" t="n"/>
      <c r="I180" s="4" t="n"/>
      <c r="J180" s="8" t="n"/>
    </row>
    <row r="181">
      <c r="A181" s="5" t="n"/>
      <c r="B181" s="4" t="n"/>
      <c r="C181" s="8" t="n"/>
      <c r="D181" s="4" t="n"/>
      <c r="E181" s="4" t="n"/>
      <c r="F181" s="4" t="n"/>
      <c r="G181" s="4" t="n"/>
      <c r="H181" s="4" t="n"/>
      <c r="I181" s="4" t="n"/>
      <c r="J181" s="8" t="n"/>
    </row>
    <row r="182">
      <c r="A182" s="5" t="n"/>
      <c r="B182" s="4" t="n"/>
      <c r="C182" s="8" t="n"/>
      <c r="D182" s="4" t="n"/>
      <c r="E182" s="4" t="n"/>
      <c r="F182" s="4" t="n"/>
      <c r="G182" s="4" t="n"/>
      <c r="H182" s="4" t="n"/>
      <c r="I182" s="4" t="n"/>
      <c r="J182" s="8" t="n"/>
    </row>
    <row r="183">
      <c r="A183" s="5" t="n"/>
      <c r="B183" s="4" t="n"/>
      <c r="C183" s="8" t="n"/>
      <c r="D183" s="4" t="n"/>
      <c r="E183" s="4" t="n"/>
      <c r="F183" s="4" t="n"/>
      <c r="G183" s="4" t="n"/>
      <c r="H183" s="4" t="n"/>
      <c r="I183" s="4" t="n"/>
      <c r="J183" s="8" t="n"/>
    </row>
    <row r="184">
      <c r="A184" s="5" t="n"/>
      <c r="B184" s="4" t="n"/>
      <c r="C184" s="8" t="n"/>
      <c r="D184" s="4" t="n"/>
      <c r="E184" s="4" t="n"/>
      <c r="F184" s="4" t="n"/>
      <c r="G184" s="4" t="n"/>
      <c r="H184" s="4" t="n"/>
      <c r="I184" s="4" t="n"/>
      <c r="J184" s="8" t="n"/>
    </row>
    <row r="185">
      <c r="A185" s="5" t="n"/>
      <c r="B185" s="4" t="n"/>
      <c r="C185" s="8" t="n"/>
      <c r="D185" s="4" t="n"/>
      <c r="E185" s="4" t="n"/>
      <c r="F185" s="4" t="n"/>
      <c r="G185" s="4" t="n"/>
      <c r="H185" s="4" t="n"/>
      <c r="I185" s="4" t="n"/>
      <c r="J185" s="8" t="n"/>
    </row>
    <row r="186">
      <c r="A186" s="5" t="n"/>
      <c r="B186" s="4" t="n"/>
      <c r="C186" s="8" t="n"/>
      <c r="D186" s="4" t="n"/>
      <c r="E186" s="4" t="n"/>
      <c r="F186" s="4" t="n"/>
      <c r="G186" s="4" t="n"/>
      <c r="H186" s="4" t="n"/>
      <c r="I186" s="4" t="n"/>
      <c r="J186" s="8" t="n"/>
    </row>
    <row r="187">
      <c r="A187" s="5" t="n"/>
      <c r="B187" s="4" t="n"/>
      <c r="C187" s="8" t="n"/>
      <c r="D187" s="4" t="n"/>
      <c r="E187" s="4" t="n"/>
      <c r="F187" s="4" t="n"/>
      <c r="G187" s="4" t="n"/>
      <c r="H187" s="4" t="n"/>
      <c r="I187" s="4" t="n"/>
      <c r="J187" s="8" t="n"/>
    </row>
    <row r="188">
      <c r="A188" s="5" t="n"/>
      <c r="B188" s="4" t="n"/>
      <c r="C188" s="8" t="n"/>
      <c r="D188" s="4" t="n"/>
      <c r="E188" s="4" t="n"/>
      <c r="F188" s="4" t="n"/>
      <c r="G188" s="4" t="n"/>
      <c r="H188" s="4" t="n"/>
      <c r="I188" s="4" t="n"/>
      <c r="J188" s="8" t="n"/>
    </row>
    <row r="189">
      <c r="A189" s="5" t="n"/>
      <c r="B189" s="4" t="n"/>
      <c r="C189" s="8" t="n"/>
      <c r="D189" s="4" t="n"/>
      <c r="E189" s="4" t="n"/>
      <c r="F189" s="4" t="n"/>
      <c r="G189" s="4" t="n"/>
      <c r="H189" s="4" t="n"/>
      <c r="I189" s="4" t="n"/>
      <c r="J189" s="8" t="n"/>
    </row>
    <row r="190">
      <c r="A190" s="5" t="n"/>
      <c r="B190" s="4" t="n"/>
      <c r="C190" s="8" t="n"/>
      <c r="D190" s="4" t="n"/>
      <c r="E190" s="4" t="n"/>
      <c r="F190" s="4" t="n"/>
      <c r="G190" s="4" t="n"/>
      <c r="H190" s="4" t="n"/>
      <c r="I190" s="4" t="n"/>
      <c r="J190" s="8" t="n"/>
    </row>
    <row r="191">
      <c r="A191" s="5" t="n"/>
      <c r="B191" s="4" t="n"/>
      <c r="C191" s="8" t="n"/>
      <c r="D191" s="4" t="n"/>
      <c r="E191" s="4" t="n"/>
      <c r="F191" s="4" t="n"/>
      <c r="G191" s="4" t="n"/>
      <c r="H191" s="4" t="n"/>
      <c r="I191" s="4" t="n"/>
      <c r="J191" s="8" t="n"/>
    </row>
    <row r="192">
      <c r="A192" s="5" t="n"/>
      <c r="B192" s="4" t="n"/>
      <c r="C192" s="8" t="n"/>
      <c r="D192" s="4" t="n"/>
      <c r="E192" s="4" t="n"/>
      <c r="F192" s="4" t="n"/>
      <c r="G192" s="4" t="n"/>
      <c r="H192" s="4" t="n"/>
      <c r="I192" s="4" t="n"/>
      <c r="J192" s="8" t="n"/>
    </row>
    <row r="193">
      <c r="A193" s="5" t="n"/>
      <c r="B193" s="4" t="n"/>
      <c r="C193" s="8" t="n"/>
      <c r="D193" s="4" t="n"/>
      <c r="E193" s="4" t="n"/>
      <c r="F193" s="4" t="n"/>
      <c r="G193" s="4" t="n"/>
      <c r="H193" s="4" t="n"/>
      <c r="I193" s="4" t="n"/>
      <c r="J193" s="8" t="n"/>
    </row>
    <row r="194">
      <c r="A194" s="5" t="n"/>
      <c r="B194" s="4" t="n"/>
      <c r="C194" s="8" t="n"/>
      <c r="D194" s="4" t="n"/>
      <c r="E194" s="4" t="n"/>
      <c r="F194" s="4" t="n"/>
      <c r="G194" s="4" t="n"/>
      <c r="H194" s="4" t="n"/>
      <c r="I194" s="4" t="n"/>
      <c r="J194" s="8" t="n"/>
    </row>
    <row r="195">
      <c r="A195" s="5" t="n"/>
      <c r="B195" s="4" t="n"/>
      <c r="C195" s="8" t="n"/>
      <c r="D195" s="4" t="n"/>
      <c r="E195" s="4" t="n"/>
      <c r="F195" s="4" t="n"/>
      <c r="G195" s="4" t="n"/>
      <c r="H195" s="4" t="n"/>
      <c r="I195" s="4" t="n"/>
      <c r="J195" s="8" t="n"/>
    </row>
    <row r="196">
      <c r="A196" s="5" t="n"/>
      <c r="B196" s="4" t="n"/>
      <c r="C196" s="8" t="n"/>
      <c r="D196" s="4" t="n"/>
      <c r="E196" s="4" t="n"/>
      <c r="F196" s="4" t="n"/>
      <c r="G196" s="4" t="n"/>
      <c r="H196" s="4" t="n"/>
      <c r="I196" s="4" t="n"/>
      <c r="J196" s="8" t="n"/>
    </row>
  </sheetData>
  <autoFilter ref="A4:J196"/>
  <conditionalFormatting sqref="A5:J196">
    <cfRule type="expression" priority="1" dxfId="0">
      <formula>AND($A5&lt;&gt;"",$A5&lt;TODAY(),$H5&lt;&gt;"Published",$H5&lt;&gt;"Cancelled")</formula>
    </cfRule>
    <cfRule type="expression" priority="2" dxfId="1">
      <formula>$H5="Published"</formula>
    </cfRule>
  </conditionalFormatting>
  <dataValidations count="4">
    <dataValidation sqref="B5:B196" showDropDown="0" showInputMessage="0" showErrorMessage="1" allowBlank="1" type="list">
      <formula1>=Lists!$H$2:$H$9</formula1>
    </dataValidation>
    <dataValidation sqref="F5:F196" showDropDown="0" showInputMessage="0" showErrorMessage="1" allowBlank="1" type="list">
      <formula1>=Lists!$A$2:$A$11</formula1>
    </dataValidation>
    <dataValidation sqref="G5:G196" showDropDown="0" showInputMessage="0" showErrorMessage="1" allowBlank="1" type="list">
      <formula1>=Lists!$A$2:$A$11</formula1>
    </dataValidation>
    <dataValidation sqref="H5:H196" showDropDown="0" showInputMessage="0" showErrorMessage="1" allowBlank="1" type="list">
      <formula1>=Lists!$I$2:$I$7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0" customWidth="1" min="3" max="3"/>
    <col width="46" customWidth="1" min="4" max="4"/>
    <col width="12" customWidth="1" min="5" max="5"/>
    <col width="10" customWidth="1" min="6" max="6"/>
    <col width="18" customWidth="1" min="7" max="7"/>
    <col width="12" customWidth="1" min="8" max="8"/>
    <col width="30" customWidth="1" min="9" max="9"/>
    <col width="30" customWidth="1" min="10" max="10"/>
  </cols>
  <sheetData>
    <row r="1">
      <c r="A1" s="1" t="inlineStr">
        <is>
          <t>Tests / QA</t>
        </is>
      </c>
    </row>
    <row r="2">
      <c r="A2" s="2" t="inlineStr">
        <is>
          <t>Test on production (kolayxport.com) with a test e-mail, on a phone and a laptop. Never use real customer data or the protected review accounts (review@, play-review@, mcp-review@). Result / Tester are dropdowns.</t>
        </is>
      </c>
    </row>
    <row r="4" ht="32" customHeight="1">
      <c r="A4" s="3" t="inlineStr">
        <is>
          <t>ID</t>
        </is>
      </c>
      <c r="B4" s="3" t="inlineStr">
        <is>
          <t>Feature</t>
        </is>
      </c>
      <c r="C4" s="3" t="inlineStr">
        <is>
          <t>Steps</t>
        </is>
      </c>
      <c r="D4" s="3" t="inlineStr">
        <is>
          <t>Expected</t>
        </is>
      </c>
      <c r="E4" s="3" t="inlineStr">
        <is>
          <t>Device</t>
        </is>
      </c>
      <c r="F4" s="3" t="inlineStr">
        <is>
          <t>Result</t>
        </is>
      </c>
      <c r="G4" s="3" t="inlineStr">
        <is>
          <t>Tester</t>
        </is>
      </c>
      <c r="H4" s="3" t="inlineStr">
        <is>
          <t>Date</t>
        </is>
      </c>
      <c r="I4" s="3" t="inlineStr">
        <is>
          <t>Bug / link</t>
        </is>
      </c>
      <c r="J4" s="3" t="inlineStr">
        <is>
          <t>Notes</t>
        </is>
      </c>
    </row>
    <row r="5">
      <c r="A5" s="4" t="inlineStr">
        <is>
          <t>Q01</t>
        </is>
      </c>
      <c r="B5" s="8" t="inlineStr">
        <is>
          <t>Referral Stage A: partner link</t>
        </is>
      </c>
      <c r="C5" s="8" t="inlineStr">
        <is>
          <t>1) Private window → kolayxport.com/?ref=TEST-PARTNER 2) Sign up with a test e-mail 3) Open /admin/partners</t>
        </is>
      </c>
      <c r="D5" s="8" t="inlineStr">
        <is>
          <t>Report shows 1 signup for TEST-PARTNER; delete test user + partner after</t>
        </is>
      </c>
      <c r="E5" s="4" t="inlineStr">
        <is>
          <t>Laptop</t>
        </is>
      </c>
      <c r="F5" s="4" t="inlineStr">
        <is>
          <t>Not run</t>
        </is>
      </c>
      <c r="G5" s="4" t="n"/>
      <c r="H5" s="5" t="n"/>
      <c r="I5" s="4" t="n"/>
      <c r="J5" s="8" t="n"/>
    </row>
    <row r="6">
      <c r="A6" s="4" t="inlineStr">
        <is>
          <t>Q02</t>
        </is>
      </c>
      <c r="B6" s="8" t="inlineStr">
        <is>
          <t>Referral: Google sign-in via partner link</t>
        </is>
      </c>
      <c r="C6" s="8" t="inlineStr">
        <is>
          <t>1) Private window → /?ref=TEST-PARTNER 2) Sign up with Google (test account) 3) /admin/partners</t>
        </is>
      </c>
      <c r="D6" s="8" t="inlineStr">
        <is>
          <t>Signup attributed (via 'claim')</t>
        </is>
      </c>
      <c r="E6" s="4" t="inlineStr">
        <is>
          <t>Phone</t>
        </is>
      </c>
      <c r="F6" s="4" t="inlineStr">
        <is>
          <t>Not run</t>
        </is>
      </c>
      <c r="G6" s="4" t="n"/>
      <c r="H6" s="5" t="n"/>
      <c r="I6" s="4" t="n"/>
      <c r="J6" s="8" t="n"/>
    </row>
    <row r="7">
      <c r="A7" s="4" t="inlineStr">
        <is>
          <t>Q03</t>
        </is>
      </c>
      <c r="B7" s="8" t="inlineStr">
        <is>
          <t>Signup + 14-day trial</t>
        </is>
      </c>
      <c r="C7" s="8" t="inlineStr">
        <is>
          <t>1) /login?mode=signup 2) Sign up 3) Verify e-mail 4) Check plan/trial in settings</t>
        </is>
      </c>
      <c r="D7" s="8" t="inlineStr">
        <is>
          <t>Trial shows 14 days; no card asked</t>
        </is>
      </c>
      <c r="E7" s="4" t="inlineStr">
        <is>
          <t>Phone</t>
        </is>
      </c>
      <c r="F7" s="4" t="inlineStr">
        <is>
          <t>Not run</t>
        </is>
      </c>
      <c r="G7" s="4" t="n"/>
      <c r="H7" s="5" t="n"/>
      <c r="I7" s="4" t="n"/>
      <c r="J7" s="8" t="n"/>
    </row>
    <row r="8">
      <c r="A8" s="4" t="inlineStr">
        <is>
          <t>Q04</t>
        </is>
      </c>
      <c r="B8" s="8" t="inlineStr">
        <is>
          <t>Google / Apple first sign-in</t>
        </is>
      </c>
      <c r="C8" s="8" t="inlineStr">
        <is>
          <t>Sign in with a new Google account</t>
        </is>
      </c>
      <c r="D8" s="8" t="inlineStr">
        <is>
          <t>Lands in the app (no bounce back to /login; fixed in 1b04d991)</t>
        </is>
      </c>
      <c r="E8" s="4" t="inlineStr">
        <is>
          <t>Phone</t>
        </is>
      </c>
      <c r="F8" s="4" t="inlineStr">
        <is>
          <t>Not run</t>
        </is>
      </c>
      <c r="G8" s="4" t="n"/>
      <c r="H8" s="5" t="n"/>
      <c r="I8" s="4" t="n"/>
      <c r="J8" s="8" t="n"/>
    </row>
    <row r="9">
      <c r="A9" s="4" t="inlineStr">
        <is>
          <t>Q05</t>
        </is>
      </c>
      <c r="B9" s="8" t="inlineStr">
        <is>
          <t>Cookie panel</t>
        </is>
      </c>
      <c r="C9" s="8" t="inlineStr">
        <is>
          <t>1) Fresh browser → 'Yalnızca zorunlu' 2) DevTools network</t>
        </is>
      </c>
      <c r="D9" s="8" t="inlineStr">
        <is>
          <t>No requests to facebook.com / google-analytics.com</t>
        </is>
      </c>
      <c r="E9" s="4" t="inlineStr">
        <is>
          <t>Laptop</t>
        </is>
      </c>
      <c r="F9" s="4" t="inlineStr">
        <is>
          <t>Not run</t>
        </is>
      </c>
      <c r="G9" s="4" t="n"/>
      <c r="H9" s="5" t="n"/>
      <c r="I9" s="4" t="n"/>
      <c r="J9" s="8" t="n"/>
    </row>
    <row r="10">
      <c r="A10" s="4" t="inlineStr">
        <is>
          <t>Q06</t>
        </is>
      </c>
      <c r="B10" s="8" t="inlineStr">
        <is>
          <t>Connect Etsy</t>
        </is>
      </c>
      <c r="C10" s="8" t="inlineStr">
        <is>
          <t>Settings › Connections › Etsy → OAuth</t>
        </is>
      </c>
      <c r="D10" s="8" t="inlineStr">
        <is>
          <t>Store connected; listings load</t>
        </is>
      </c>
      <c r="E10" s="4" t="inlineStr">
        <is>
          <t>Laptop</t>
        </is>
      </c>
      <c r="F10" s="4" t="inlineStr">
        <is>
          <t>Not run</t>
        </is>
      </c>
      <c r="G10" s="4" t="n"/>
      <c r="H10" s="5" t="n"/>
      <c r="I10" s="4" t="n"/>
      <c r="J10" s="8" t="n"/>
    </row>
    <row r="11">
      <c r="A11" s="4" t="inlineStr">
        <is>
          <t>Q07</t>
        </is>
      </c>
      <c r="B11" s="8" t="inlineStr">
        <is>
          <t>Listing doctor (onboarding hook)</t>
        </is>
      </c>
      <c r="C11" s="8" t="inlineStr">
        <is>
          <t>Open the weakest listing → Listing doctor → apply one fix → send</t>
        </is>
      </c>
      <c r="D11" s="8" t="inlineStr">
        <is>
          <t>SEO score + fixes; change stays draft until 'Gönder'</t>
        </is>
      </c>
      <c r="E11" s="4" t="inlineStr">
        <is>
          <t>Laptop</t>
        </is>
      </c>
      <c r="F11" s="4" t="inlineStr">
        <is>
          <t>Not run</t>
        </is>
      </c>
      <c r="G11" s="4" t="n"/>
      <c r="H11" s="5" t="n"/>
      <c r="I11" s="4" t="n"/>
      <c r="J11" s="8" t="n"/>
    </row>
    <row r="12">
      <c r="A12" s="4" t="inlineStr">
        <is>
          <t>Q08</t>
        </is>
      </c>
      <c r="B12" s="8" t="inlineStr">
        <is>
          <t>Chrome extension from Web Store</t>
        </is>
      </c>
      <c r="C12" s="8" t="inlineStr">
        <is>
          <t>Install from chromewebstore.google.com/detail/fjlfihofjojemlofkfejikgdbjemncba → open an Etsy search</t>
        </is>
      </c>
      <c r="D12" s="8" t="inlineStr">
        <is>
          <t>Overlay shows plain-Turkish numbers</t>
        </is>
      </c>
      <c r="E12" s="4" t="inlineStr">
        <is>
          <t>Laptop</t>
        </is>
      </c>
      <c r="F12" s="4" t="inlineStr">
        <is>
          <t>Not run</t>
        </is>
      </c>
      <c r="G12" s="4" t="n"/>
      <c r="H12" s="5" t="n"/>
      <c r="I12" s="4" t="n"/>
      <c r="J12" s="8" t="n"/>
    </row>
    <row r="13">
      <c r="A13" s="4" t="inlineStr">
        <is>
          <t>Q09</t>
        </is>
      </c>
      <c r="B13" s="8" t="inlineStr">
        <is>
          <t>Founding offer counter</t>
        </is>
      </c>
      <c r="C13" s="8" t="inlineStr">
        <is>
          <t>Open /fiyatlandirma</t>
        </is>
      </c>
      <c r="D13" s="8" t="inlineStr">
        <is>
          <t>Counter shows; never a hardcoded number in copy</t>
        </is>
      </c>
      <c r="E13" s="4" t="inlineStr">
        <is>
          <t>Phone</t>
        </is>
      </c>
      <c r="F13" s="4" t="inlineStr">
        <is>
          <t>Not run</t>
        </is>
      </c>
      <c r="G13" s="4" t="n"/>
      <c r="H13" s="5" t="n"/>
      <c r="I13" s="4" t="n"/>
      <c r="J13" s="8" t="n"/>
    </row>
    <row r="14">
      <c r="A14" s="4" t="inlineStr">
        <is>
          <t>Q10</t>
        </is>
      </c>
      <c r="B14" s="8" t="inlineStr">
        <is>
          <t>Partner promo code at checkout</t>
        </is>
      </c>
      <c r="C14" s="8" t="inlineStr">
        <is>
          <t>After founding spots are full: checkout with the partner code</t>
        </is>
      </c>
      <c r="D14" s="8" t="inlineStr">
        <is>
          <t>Discount applied; signup attributed via 'promo'</t>
        </is>
      </c>
      <c r="E14" s="4" t="inlineStr">
        <is>
          <t>Laptop</t>
        </is>
      </c>
      <c r="F14" s="4" t="inlineStr">
        <is>
          <t>Not run</t>
        </is>
      </c>
      <c r="G14" s="4" t="n"/>
      <c r="H14" s="5" t="n"/>
      <c r="I14" s="4" t="n"/>
      <c r="J14" s="8" t="n"/>
    </row>
    <row r="15">
      <c r="A15" s="4" t="inlineStr">
        <is>
          <t>Q11</t>
        </is>
      </c>
      <c r="B15" s="8" t="inlineStr">
        <is>
          <t>Tutorials embedded on guides</t>
        </is>
      </c>
      <c r="C15" s="8" t="inlineStr">
        <is>
          <t>Open 3 guide pages under /nasil-kullanirim</t>
        </is>
      </c>
      <c r="D15" s="8" t="inlineStr">
        <is>
          <t>Video plays; links in description work</t>
        </is>
      </c>
      <c r="E15" s="4" t="inlineStr">
        <is>
          <t>Phone</t>
        </is>
      </c>
      <c r="F15" s="4" t="inlineStr">
        <is>
          <t>Not run</t>
        </is>
      </c>
      <c r="G15" s="4" t="n"/>
      <c r="H15" s="5" t="n"/>
      <c r="I15" s="4" t="n"/>
      <c r="J15" s="8" t="n"/>
    </row>
    <row r="16">
      <c r="A16" s="4" t="inlineStr">
        <is>
          <t>Q12</t>
        </is>
      </c>
      <c r="B16" s="8" t="inlineStr">
        <is>
          <t>Partner dashboard /app/ortaklik (after Stage B)</t>
        </is>
      </c>
      <c r="C16" s="8" t="inlineStr">
        <is>
          <t>Log in as a test partner → /app/ortaklik</t>
        </is>
      </c>
      <c r="D16" s="8" t="inlineStr">
        <is>
          <t>Own referrals only, masked; no e-mails</t>
        </is>
      </c>
      <c r="E16" s="4" t="inlineStr">
        <is>
          <t>Phone</t>
        </is>
      </c>
      <c r="F16" s="4" t="inlineStr">
        <is>
          <t>Not run</t>
        </is>
      </c>
      <c r="G16" s="4" t="n"/>
      <c r="H16" s="5" t="n"/>
      <c r="I16" s="4" t="n"/>
      <c r="J16" s="8" t="n"/>
    </row>
    <row r="17">
      <c r="A17" s="4" t="inlineStr">
        <is>
          <t>Q13</t>
        </is>
      </c>
      <c r="B17" s="8" t="inlineStr">
        <is>
          <t>Payout run dry run (after Stage B)</t>
        </is>
      </c>
      <c r="C17" s="8" t="inlineStr">
        <is>
          <t>/admin/partners → payout run without confirm</t>
        </is>
      </c>
      <c r="D17" s="8" t="inlineStr">
        <is>
          <t>Lists payable bounties; no money moves</t>
        </is>
      </c>
      <c r="E17" s="4" t="inlineStr">
        <is>
          <t>Laptop</t>
        </is>
      </c>
      <c r="F17" s="4" t="inlineStr">
        <is>
          <t>Not run</t>
        </is>
      </c>
      <c r="G17" s="4" t="n"/>
      <c r="H17" s="5" t="n"/>
      <c r="I17" s="4" t="n"/>
      <c r="J17" s="8" t="n"/>
    </row>
    <row r="18">
      <c r="A18" s="4" t="inlineStr">
        <is>
          <t>Q14</t>
        </is>
      </c>
      <c r="B18" s="8" t="inlineStr">
        <is>
          <t>Shopify-connected account hides referral/prices</t>
        </is>
      </c>
      <c r="C18" s="8" t="inlineStr">
        <is>
          <t>Log in to a Shopify-installed test store account</t>
        </is>
      </c>
      <c r="D18" s="8" t="inlineStr">
        <is>
          <t>No /app/ortaklik, no prices or upgrades</t>
        </is>
      </c>
      <c r="E18" s="4" t="inlineStr">
        <is>
          <t>Laptop</t>
        </is>
      </c>
      <c r="F18" s="4" t="inlineStr">
        <is>
          <t>Not run</t>
        </is>
      </c>
      <c r="G18" s="4" t="n"/>
      <c r="H18" s="5" t="n"/>
      <c r="I18" s="4" t="n"/>
      <c r="J18" s="8" t="n"/>
    </row>
    <row r="19">
      <c r="A19" s="4" t="n"/>
      <c r="B19" s="8" t="n"/>
      <c r="C19" s="8" t="n"/>
      <c r="D19" s="8" t="n"/>
      <c r="E19" s="4" t="n"/>
      <c r="F19" s="4" t="n"/>
      <c r="G19" s="4" t="n"/>
      <c r="H19" s="5" t="n"/>
      <c r="I19" s="4" t="n"/>
      <c r="J19" s="8" t="n"/>
    </row>
    <row r="20">
      <c r="A20" s="4" t="n"/>
      <c r="B20" s="8" t="n"/>
      <c r="C20" s="8" t="n"/>
      <c r="D20" s="8" t="n"/>
      <c r="E20" s="4" t="n"/>
      <c r="F20" s="4" t="n"/>
      <c r="G20" s="4" t="n"/>
      <c r="H20" s="5" t="n"/>
      <c r="I20" s="4" t="n"/>
      <c r="J20" s="8" t="n"/>
    </row>
    <row r="21">
      <c r="A21" s="4" t="n"/>
      <c r="B21" s="8" t="n"/>
      <c r="C21" s="8" t="n"/>
      <c r="D21" s="8" t="n"/>
      <c r="E21" s="4" t="n"/>
      <c r="F21" s="4" t="n"/>
      <c r="G21" s="4" t="n"/>
      <c r="H21" s="5" t="n"/>
      <c r="I21" s="4" t="n"/>
      <c r="J21" s="8" t="n"/>
    </row>
    <row r="22">
      <c r="A22" s="4" t="n"/>
      <c r="B22" s="8" t="n"/>
      <c r="C22" s="8" t="n"/>
      <c r="D22" s="8" t="n"/>
      <c r="E22" s="4" t="n"/>
      <c r="F22" s="4" t="n"/>
      <c r="G22" s="4" t="n"/>
      <c r="H22" s="5" t="n"/>
      <c r="I22" s="4" t="n"/>
      <c r="J22" s="8" t="n"/>
    </row>
    <row r="23">
      <c r="A23" s="4" t="n"/>
      <c r="B23" s="8" t="n"/>
      <c r="C23" s="8" t="n"/>
      <c r="D23" s="8" t="n"/>
      <c r="E23" s="4" t="n"/>
      <c r="F23" s="4" t="n"/>
      <c r="G23" s="4" t="n"/>
      <c r="H23" s="5" t="n"/>
      <c r="I23" s="4" t="n"/>
      <c r="J23" s="8" t="n"/>
    </row>
    <row r="24">
      <c r="A24" s="4" t="n"/>
      <c r="B24" s="8" t="n"/>
      <c r="C24" s="8" t="n"/>
      <c r="D24" s="8" t="n"/>
      <c r="E24" s="4" t="n"/>
      <c r="F24" s="4" t="n"/>
      <c r="G24" s="4" t="n"/>
      <c r="H24" s="5" t="n"/>
      <c r="I24" s="4" t="n"/>
      <c r="J24" s="8" t="n"/>
    </row>
    <row r="25">
      <c r="A25" s="4" t="n"/>
      <c r="B25" s="8" t="n"/>
      <c r="C25" s="8" t="n"/>
      <c r="D25" s="8" t="n"/>
      <c r="E25" s="4" t="n"/>
      <c r="F25" s="4" t="n"/>
      <c r="G25" s="4" t="n"/>
      <c r="H25" s="5" t="n"/>
      <c r="I25" s="4" t="n"/>
      <c r="J25" s="8" t="n"/>
    </row>
    <row r="26">
      <c r="A26" s="4" t="n"/>
      <c r="B26" s="8" t="n"/>
      <c r="C26" s="8" t="n"/>
      <c r="D26" s="8" t="n"/>
      <c r="E26" s="4" t="n"/>
      <c r="F26" s="4" t="n"/>
      <c r="G26" s="4" t="n"/>
      <c r="H26" s="5" t="n"/>
      <c r="I26" s="4" t="n"/>
      <c r="J26" s="8" t="n"/>
    </row>
    <row r="27">
      <c r="A27" s="4" t="n"/>
      <c r="B27" s="8" t="n"/>
      <c r="C27" s="8" t="n"/>
      <c r="D27" s="8" t="n"/>
      <c r="E27" s="4" t="n"/>
      <c r="F27" s="4" t="n"/>
      <c r="G27" s="4" t="n"/>
      <c r="H27" s="5" t="n"/>
      <c r="I27" s="4" t="n"/>
      <c r="J27" s="8" t="n"/>
    </row>
    <row r="28">
      <c r="A28" s="4" t="n"/>
      <c r="B28" s="8" t="n"/>
      <c r="C28" s="8" t="n"/>
      <c r="D28" s="8" t="n"/>
      <c r="E28" s="4" t="n"/>
      <c r="F28" s="4" t="n"/>
      <c r="G28" s="4" t="n"/>
      <c r="H28" s="5" t="n"/>
      <c r="I28" s="4" t="n"/>
      <c r="J28" s="8" t="n"/>
    </row>
    <row r="29">
      <c r="A29" s="4" t="n"/>
      <c r="B29" s="8" t="n"/>
      <c r="C29" s="8" t="n"/>
      <c r="D29" s="8" t="n"/>
      <c r="E29" s="4" t="n"/>
      <c r="F29" s="4" t="n"/>
      <c r="G29" s="4" t="n"/>
      <c r="H29" s="5" t="n"/>
      <c r="I29" s="4" t="n"/>
      <c r="J29" s="8" t="n"/>
    </row>
    <row r="30">
      <c r="A30" s="4" t="n"/>
      <c r="B30" s="8" t="n"/>
      <c r="C30" s="8" t="n"/>
      <c r="D30" s="8" t="n"/>
      <c r="E30" s="4" t="n"/>
      <c r="F30" s="4" t="n"/>
      <c r="G30" s="4" t="n"/>
      <c r="H30" s="5" t="n"/>
      <c r="I30" s="4" t="n"/>
      <c r="J30" s="8" t="n"/>
    </row>
    <row r="31">
      <c r="A31" s="4" t="n"/>
      <c r="B31" s="8" t="n"/>
      <c r="C31" s="8" t="n"/>
      <c r="D31" s="8" t="n"/>
      <c r="E31" s="4" t="n"/>
      <c r="F31" s="4" t="n"/>
      <c r="G31" s="4" t="n"/>
      <c r="H31" s="5" t="n"/>
      <c r="I31" s="4" t="n"/>
      <c r="J31" s="8" t="n"/>
    </row>
    <row r="32">
      <c r="A32" s="4" t="n"/>
      <c r="B32" s="8" t="n"/>
      <c r="C32" s="8" t="n"/>
      <c r="D32" s="8" t="n"/>
      <c r="E32" s="4" t="n"/>
      <c r="F32" s="4" t="n"/>
      <c r="G32" s="4" t="n"/>
      <c r="H32" s="5" t="n"/>
      <c r="I32" s="4" t="n"/>
      <c r="J32" s="8" t="n"/>
    </row>
    <row r="33">
      <c r="A33" s="4" t="n"/>
      <c r="B33" s="8" t="n"/>
      <c r="C33" s="8" t="n"/>
      <c r="D33" s="8" t="n"/>
      <c r="E33" s="4" t="n"/>
      <c r="F33" s="4" t="n"/>
      <c r="G33" s="4" t="n"/>
      <c r="H33" s="5" t="n"/>
      <c r="I33" s="4" t="n"/>
      <c r="J33" s="8" t="n"/>
    </row>
    <row r="34">
      <c r="A34" s="4" t="n"/>
      <c r="B34" s="8" t="n"/>
      <c r="C34" s="8" t="n"/>
      <c r="D34" s="8" t="n"/>
      <c r="E34" s="4" t="n"/>
      <c r="F34" s="4" t="n"/>
      <c r="G34" s="4" t="n"/>
      <c r="H34" s="5" t="n"/>
      <c r="I34" s="4" t="n"/>
      <c r="J34" s="8" t="n"/>
    </row>
    <row r="35">
      <c r="A35" s="4" t="n"/>
      <c r="B35" s="8" t="n"/>
      <c r="C35" s="8" t="n"/>
      <c r="D35" s="8" t="n"/>
      <c r="E35" s="4" t="n"/>
      <c r="F35" s="4" t="n"/>
      <c r="G35" s="4" t="n"/>
      <c r="H35" s="5" t="n"/>
      <c r="I35" s="4" t="n"/>
      <c r="J35" s="8" t="n"/>
    </row>
    <row r="36">
      <c r="A36" s="4" t="n"/>
      <c r="B36" s="8" t="n"/>
      <c r="C36" s="8" t="n"/>
      <c r="D36" s="8" t="n"/>
      <c r="E36" s="4" t="n"/>
      <c r="F36" s="4" t="n"/>
      <c r="G36" s="4" t="n"/>
      <c r="H36" s="5" t="n"/>
      <c r="I36" s="4" t="n"/>
      <c r="J36" s="8" t="n"/>
    </row>
    <row r="37">
      <c r="A37" s="4" t="n"/>
      <c r="B37" s="8" t="n"/>
      <c r="C37" s="8" t="n"/>
      <c r="D37" s="8" t="n"/>
      <c r="E37" s="4" t="n"/>
      <c r="F37" s="4" t="n"/>
      <c r="G37" s="4" t="n"/>
      <c r="H37" s="5" t="n"/>
      <c r="I37" s="4" t="n"/>
      <c r="J37" s="8" t="n"/>
    </row>
    <row r="38">
      <c r="A38" s="4" t="n"/>
      <c r="B38" s="8" t="n"/>
      <c r="C38" s="8" t="n"/>
      <c r="D38" s="8" t="n"/>
      <c r="E38" s="4" t="n"/>
      <c r="F38" s="4" t="n"/>
      <c r="G38" s="4" t="n"/>
      <c r="H38" s="5" t="n"/>
      <c r="I38" s="4" t="n"/>
      <c r="J38" s="8" t="n"/>
    </row>
    <row r="39">
      <c r="A39" s="4" t="n"/>
      <c r="B39" s="8" t="n"/>
      <c r="C39" s="8" t="n"/>
      <c r="D39" s="8" t="n"/>
      <c r="E39" s="4" t="n"/>
      <c r="F39" s="4" t="n"/>
      <c r="G39" s="4" t="n"/>
      <c r="H39" s="5" t="n"/>
      <c r="I39" s="4" t="n"/>
      <c r="J39" s="8" t="n"/>
    </row>
    <row r="40">
      <c r="A40" s="4" t="n"/>
      <c r="B40" s="8" t="n"/>
      <c r="C40" s="8" t="n"/>
      <c r="D40" s="8" t="n"/>
      <c r="E40" s="4" t="n"/>
      <c r="F40" s="4" t="n"/>
      <c r="G40" s="4" t="n"/>
      <c r="H40" s="5" t="n"/>
      <c r="I40" s="4" t="n"/>
      <c r="J40" s="8" t="n"/>
    </row>
    <row r="41">
      <c r="A41" s="4" t="n"/>
      <c r="B41" s="8" t="n"/>
      <c r="C41" s="8" t="n"/>
      <c r="D41" s="8" t="n"/>
      <c r="E41" s="4" t="n"/>
      <c r="F41" s="4" t="n"/>
      <c r="G41" s="4" t="n"/>
      <c r="H41" s="5" t="n"/>
      <c r="I41" s="4" t="n"/>
      <c r="J41" s="8" t="n"/>
    </row>
    <row r="42">
      <c r="A42" s="4" t="n"/>
      <c r="B42" s="8" t="n"/>
      <c r="C42" s="8" t="n"/>
      <c r="D42" s="8" t="n"/>
      <c r="E42" s="4" t="n"/>
      <c r="F42" s="4" t="n"/>
      <c r="G42" s="4" t="n"/>
      <c r="H42" s="5" t="n"/>
      <c r="I42" s="4" t="n"/>
      <c r="J42" s="8" t="n"/>
    </row>
    <row r="43">
      <c r="A43" s="4" t="n"/>
      <c r="B43" s="8" t="n"/>
      <c r="C43" s="8" t="n"/>
      <c r="D43" s="8" t="n"/>
      <c r="E43" s="4" t="n"/>
      <c r="F43" s="4" t="n"/>
      <c r="G43" s="4" t="n"/>
      <c r="H43" s="5" t="n"/>
      <c r="I43" s="4" t="n"/>
      <c r="J43" s="8" t="n"/>
    </row>
    <row r="44">
      <c r="A44" s="4" t="n"/>
      <c r="B44" s="8" t="n"/>
      <c r="C44" s="8" t="n"/>
      <c r="D44" s="8" t="n"/>
      <c r="E44" s="4" t="n"/>
      <c r="F44" s="4" t="n"/>
      <c r="G44" s="4" t="n"/>
      <c r="H44" s="5" t="n"/>
      <c r="I44" s="4" t="n"/>
      <c r="J44" s="8" t="n"/>
    </row>
    <row r="45">
      <c r="A45" s="4" t="n"/>
      <c r="B45" s="8" t="n"/>
      <c r="C45" s="8" t="n"/>
      <c r="D45" s="8" t="n"/>
      <c r="E45" s="4" t="n"/>
      <c r="F45" s="4" t="n"/>
      <c r="G45" s="4" t="n"/>
      <c r="H45" s="5" t="n"/>
      <c r="I45" s="4" t="n"/>
      <c r="J45" s="8" t="n"/>
    </row>
    <row r="46">
      <c r="A46" s="4" t="n"/>
      <c r="B46" s="8" t="n"/>
      <c r="C46" s="8" t="n"/>
      <c r="D46" s="8" t="n"/>
      <c r="E46" s="4" t="n"/>
      <c r="F46" s="4" t="n"/>
      <c r="G46" s="4" t="n"/>
      <c r="H46" s="5" t="n"/>
      <c r="I46" s="4" t="n"/>
      <c r="J46" s="8" t="n"/>
    </row>
    <row r="47">
      <c r="A47" s="4" t="n"/>
      <c r="B47" s="8" t="n"/>
      <c r="C47" s="8" t="n"/>
      <c r="D47" s="8" t="n"/>
      <c r="E47" s="4" t="n"/>
      <c r="F47" s="4" t="n"/>
      <c r="G47" s="4" t="n"/>
      <c r="H47" s="5" t="n"/>
      <c r="I47" s="4" t="n"/>
      <c r="J47" s="8" t="n"/>
    </row>
    <row r="48">
      <c r="A48" s="4" t="n"/>
      <c r="B48" s="8" t="n"/>
      <c r="C48" s="8" t="n"/>
      <c r="D48" s="8" t="n"/>
      <c r="E48" s="4" t="n"/>
      <c r="F48" s="4" t="n"/>
      <c r="G48" s="4" t="n"/>
      <c r="H48" s="5" t="n"/>
      <c r="I48" s="4" t="n"/>
      <c r="J48" s="8" t="n"/>
    </row>
    <row r="49">
      <c r="A49" s="4" t="n"/>
      <c r="B49" s="8" t="n"/>
      <c r="C49" s="8" t="n"/>
      <c r="D49" s="8" t="n"/>
      <c r="E49" s="4" t="n"/>
      <c r="F49" s="4" t="n"/>
      <c r="G49" s="4" t="n"/>
      <c r="H49" s="5" t="n"/>
      <c r="I49" s="4" t="n"/>
      <c r="J49" s="8" t="n"/>
    </row>
    <row r="50">
      <c r="A50" s="4" t="n"/>
      <c r="B50" s="8" t="n"/>
      <c r="C50" s="8" t="n"/>
      <c r="D50" s="8" t="n"/>
      <c r="E50" s="4" t="n"/>
      <c r="F50" s="4" t="n"/>
      <c r="G50" s="4" t="n"/>
      <c r="H50" s="5" t="n"/>
      <c r="I50" s="4" t="n"/>
      <c r="J50" s="8" t="n"/>
    </row>
    <row r="51">
      <c r="A51" s="4" t="n"/>
      <c r="B51" s="8" t="n"/>
      <c r="C51" s="8" t="n"/>
      <c r="D51" s="8" t="n"/>
      <c r="E51" s="4" t="n"/>
      <c r="F51" s="4" t="n"/>
      <c r="G51" s="4" t="n"/>
      <c r="H51" s="5" t="n"/>
      <c r="I51" s="4" t="n"/>
      <c r="J51" s="8" t="n"/>
    </row>
    <row r="52">
      <c r="A52" s="4" t="n"/>
      <c r="B52" s="8" t="n"/>
      <c r="C52" s="8" t="n"/>
      <c r="D52" s="8" t="n"/>
      <c r="E52" s="4" t="n"/>
      <c r="F52" s="4" t="n"/>
      <c r="G52" s="4" t="n"/>
      <c r="H52" s="5" t="n"/>
      <c r="I52" s="4" t="n"/>
      <c r="J52" s="8" t="n"/>
    </row>
    <row r="53">
      <c r="A53" s="4" t="n"/>
      <c r="B53" s="8" t="n"/>
      <c r="C53" s="8" t="n"/>
      <c r="D53" s="8" t="n"/>
      <c r="E53" s="4" t="n"/>
      <c r="F53" s="4" t="n"/>
      <c r="G53" s="4" t="n"/>
      <c r="H53" s="5" t="n"/>
      <c r="I53" s="4" t="n"/>
      <c r="J53" s="8" t="n"/>
    </row>
    <row r="54">
      <c r="A54" s="4" t="n"/>
      <c r="B54" s="8" t="n"/>
      <c r="C54" s="8" t="n"/>
      <c r="D54" s="8" t="n"/>
      <c r="E54" s="4" t="n"/>
      <c r="F54" s="4" t="n"/>
      <c r="G54" s="4" t="n"/>
      <c r="H54" s="5" t="n"/>
      <c r="I54" s="4" t="n"/>
      <c r="J54" s="8" t="n"/>
    </row>
    <row r="55">
      <c r="A55" s="4" t="n"/>
      <c r="B55" s="8" t="n"/>
      <c r="C55" s="8" t="n"/>
      <c r="D55" s="8" t="n"/>
      <c r="E55" s="4" t="n"/>
      <c r="F55" s="4" t="n"/>
      <c r="G55" s="4" t="n"/>
      <c r="H55" s="5" t="n"/>
      <c r="I55" s="4" t="n"/>
      <c r="J55" s="8" t="n"/>
    </row>
    <row r="56">
      <c r="A56" s="4" t="n"/>
      <c r="B56" s="8" t="n"/>
      <c r="C56" s="8" t="n"/>
      <c r="D56" s="8" t="n"/>
      <c r="E56" s="4" t="n"/>
      <c r="F56" s="4" t="n"/>
      <c r="G56" s="4" t="n"/>
      <c r="H56" s="5" t="n"/>
      <c r="I56" s="4" t="n"/>
      <c r="J56" s="8" t="n"/>
    </row>
    <row r="57">
      <c r="A57" s="4" t="n"/>
      <c r="B57" s="8" t="n"/>
      <c r="C57" s="8" t="n"/>
      <c r="D57" s="8" t="n"/>
      <c r="E57" s="4" t="n"/>
      <c r="F57" s="4" t="n"/>
      <c r="G57" s="4" t="n"/>
      <c r="H57" s="5" t="n"/>
      <c r="I57" s="4" t="n"/>
      <c r="J57" s="8" t="n"/>
    </row>
    <row r="58">
      <c r="A58" s="4" t="n"/>
      <c r="B58" s="8" t="n"/>
      <c r="C58" s="8" t="n"/>
      <c r="D58" s="8" t="n"/>
      <c r="E58" s="4" t="n"/>
      <c r="F58" s="4" t="n"/>
      <c r="G58" s="4" t="n"/>
      <c r="H58" s="5" t="n"/>
      <c r="I58" s="4" t="n"/>
      <c r="J58" s="8" t="n"/>
    </row>
    <row r="59">
      <c r="A59" s="4" t="n"/>
      <c r="B59" s="8" t="n"/>
      <c r="C59" s="8" t="n"/>
      <c r="D59" s="8" t="n"/>
      <c r="E59" s="4" t="n"/>
      <c r="F59" s="4" t="n"/>
      <c r="G59" s="4" t="n"/>
      <c r="H59" s="5" t="n"/>
      <c r="I59" s="4" t="n"/>
      <c r="J59" s="8" t="n"/>
    </row>
    <row r="60">
      <c r="A60" s="4" t="n"/>
      <c r="B60" s="8" t="n"/>
      <c r="C60" s="8" t="n"/>
      <c r="D60" s="8" t="n"/>
      <c r="E60" s="4" t="n"/>
      <c r="F60" s="4" t="n"/>
      <c r="G60" s="4" t="n"/>
      <c r="H60" s="5" t="n"/>
      <c r="I60" s="4" t="n"/>
      <c r="J60" s="8" t="n"/>
    </row>
    <row r="61">
      <c r="A61" s="4" t="n"/>
      <c r="B61" s="8" t="n"/>
      <c r="C61" s="8" t="n"/>
      <c r="D61" s="8" t="n"/>
      <c r="E61" s="4" t="n"/>
      <c r="F61" s="4" t="n"/>
      <c r="G61" s="4" t="n"/>
      <c r="H61" s="5" t="n"/>
      <c r="I61" s="4" t="n"/>
      <c r="J61" s="8" t="n"/>
    </row>
    <row r="62">
      <c r="A62" s="4" t="n"/>
      <c r="B62" s="8" t="n"/>
      <c r="C62" s="8" t="n"/>
      <c r="D62" s="8" t="n"/>
      <c r="E62" s="4" t="n"/>
      <c r="F62" s="4" t="n"/>
      <c r="G62" s="4" t="n"/>
      <c r="H62" s="5" t="n"/>
      <c r="I62" s="4" t="n"/>
      <c r="J62" s="8" t="n"/>
    </row>
    <row r="63">
      <c r="A63" s="4" t="n"/>
      <c r="B63" s="8" t="n"/>
      <c r="C63" s="8" t="n"/>
      <c r="D63" s="8" t="n"/>
      <c r="E63" s="4" t="n"/>
      <c r="F63" s="4" t="n"/>
      <c r="G63" s="4" t="n"/>
      <c r="H63" s="5" t="n"/>
      <c r="I63" s="4" t="n"/>
      <c r="J63" s="8" t="n"/>
    </row>
    <row r="64">
      <c r="A64" s="4" t="n"/>
      <c r="B64" s="8" t="n"/>
      <c r="C64" s="8" t="n"/>
      <c r="D64" s="8" t="n"/>
      <c r="E64" s="4" t="n"/>
      <c r="F64" s="4" t="n"/>
      <c r="G64" s="4" t="n"/>
      <c r="H64" s="5" t="n"/>
      <c r="I64" s="4" t="n"/>
      <c r="J64" s="8" t="n"/>
    </row>
    <row r="65">
      <c r="A65" s="4" t="n"/>
      <c r="B65" s="8" t="n"/>
      <c r="C65" s="8" t="n"/>
      <c r="D65" s="8" t="n"/>
      <c r="E65" s="4" t="n"/>
      <c r="F65" s="4" t="n"/>
      <c r="G65" s="4" t="n"/>
      <c r="H65" s="5" t="n"/>
      <c r="I65" s="4" t="n"/>
      <c r="J65" s="8" t="n"/>
    </row>
    <row r="66">
      <c r="A66" s="4" t="n"/>
      <c r="B66" s="8" t="n"/>
      <c r="C66" s="8" t="n"/>
      <c r="D66" s="8" t="n"/>
      <c r="E66" s="4" t="n"/>
      <c r="F66" s="4" t="n"/>
      <c r="G66" s="4" t="n"/>
      <c r="H66" s="5" t="n"/>
      <c r="I66" s="4" t="n"/>
      <c r="J66" s="8" t="n"/>
    </row>
    <row r="67">
      <c r="A67" s="4" t="n"/>
      <c r="B67" s="8" t="n"/>
      <c r="C67" s="8" t="n"/>
      <c r="D67" s="8" t="n"/>
      <c r="E67" s="4" t="n"/>
      <c r="F67" s="4" t="n"/>
      <c r="G67" s="4" t="n"/>
      <c r="H67" s="5" t="n"/>
      <c r="I67" s="4" t="n"/>
      <c r="J67" s="8" t="n"/>
    </row>
    <row r="68">
      <c r="A68" s="4" t="n"/>
      <c r="B68" s="8" t="n"/>
      <c r="C68" s="8" t="n"/>
      <c r="D68" s="8" t="n"/>
      <c r="E68" s="4" t="n"/>
      <c r="F68" s="4" t="n"/>
      <c r="G68" s="4" t="n"/>
      <c r="H68" s="5" t="n"/>
      <c r="I68" s="4" t="n"/>
      <c r="J68" s="8" t="n"/>
    </row>
    <row r="69">
      <c r="A69" s="4" t="n"/>
      <c r="B69" s="8" t="n"/>
      <c r="C69" s="8" t="n"/>
      <c r="D69" s="8" t="n"/>
      <c r="E69" s="4" t="n"/>
      <c r="F69" s="4" t="n"/>
      <c r="G69" s="4" t="n"/>
      <c r="H69" s="5" t="n"/>
      <c r="I69" s="4" t="n"/>
      <c r="J69" s="8" t="n"/>
    </row>
    <row r="70">
      <c r="A70" s="4" t="n"/>
      <c r="B70" s="8" t="n"/>
      <c r="C70" s="8" t="n"/>
      <c r="D70" s="8" t="n"/>
      <c r="E70" s="4" t="n"/>
      <c r="F70" s="4" t="n"/>
      <c r="G70" s="4" t="n"/>
      <c r="H70" s="5" t="n"/>
      <c r="I70" s="4" t="n"/>
      <c r="J70" s="8" t="n"/>
    </row>
    <row r="71">
      <c r="A71" s="4" t="n"/>
      <c r="B71" s="8" t="n"/>
      <c r="C71" s="8" t="n"/>
      <c r="D71" s="8" t="n"/>
      <c r="E71" s="4" t="n"/>
      <c r="F71" s="4" t="n"/>
      <c r="G71" s="4" t="n"/>
      <c r="H71" s="5" t="n"/>
      <c r="I71" s="4" t="n"/>
      <c r="J71" s="8" t="n"/>
    </row>
    <row r="72">
      <c r="A72" s="4" t="n"/>
      <c r="B72" s="8" t="n"/>
      <c r="C72" s="8" t="n"/>
      <c r="D72" s="8" t="n"/>
      <c r="E72" s="4" t="n"/>
      <c r="F72" s="4" t="n"/>
      <c r="G72" s="4" t="n"/>
      <c r="H72" s="5" t="n"/>
      <c r="I72" s="4" t="n"/>
      <c r="J72" s="8" t="n"/>
    </row>
    <row r="73">
      <c r="A73" s="4" t="n"/>
      <c r="B73" s="8" t="n"/>
      <c r="C73" s="8" t="n"/>
      <c r="D73" s="8" t="n"/>
      <c r="E73" s="4" t="n"/>
      <c r="F73" s="4" t="n"/>
      <c r="G73" s="4" t="n"/>
      <c r="H73" s="5" t="n"/>
      <c r="I73" s="4" t="n"/>
      <c r="J73" s="8" t="n"/>
    </row>
    <row r="74">
      <c r="A74" s="4" t="n"/>
      <c r="B74" s="8" t="n"/>
      <c r="C74" s="8" t="n"/>
      <c r="D74" s="8" t="n"/>
      <c r="E74" s="4" t="n"/>
      <c r="F74" s="4" t="n"/>
      <c r="G74" s="4" t="n"/>
      <c r="H74" s="5" t="n"/>
      <c r="I74" s="4" t="n"/>
      <c r="J74" s="8" t="n"/>
    </row>
    <row r="75">
      <c r="A75" s="4" t="n"/>
      <c r="B75" s="8" t="n"/>
      <c r="C75" s="8" t="n"/>
      <c r="D75" s="8" t="n"/>
      <c r="E75" s="4" t="n"/>
      <c r="F75" s="4" t="n"/>
      <c r="G75" s="4" t="n"/>
      <c r="H75" s="5" t="n"/>
      <c r="I75" s="4" t="n"/>
      <c r="J75" s="8" t="n"/>
    </row>
    <row r="76">
      <c r="A76" s="4" t="n"/>
      <c r="B76" s="8" t="n"/>
      <c r="C76" s="8" t="n"/>
      <c r="D76" s="8" t="n"/>
      <c r="E76" s="4" t="n"/>
      <c r="F76" s="4" t="n"/>
      <c r="G76" s="4" t="n"/>
      <c r="H76" s="5" t="n"/>
      <c r="I76" s="4" t="n"/>
      <c r="J76" s="8" t="n"/>
    </row>
    <row r="77">
      <c r="A77" s="4" t="n"/>
      <c r="B77" s="8" t="n"/>
      <c r="C77" s="8" t="n"/>
      <c r="D77" s="8" t="n"/>
      <c r="E77" s="4" t="n"/>
      <c r="F77" s="4" t="n"/>
      <c r="G77" s="4" t="n"/>
      <c r="H77" s="5" t="n"/>
      <c r="I77" s="4" t="n"/>
      <c r="J77" s="8" t="n"/>
    </row>
    <row r="78">
      <c r="A78" s="4" t="n"/>
      <c r="B78" s="8" t="n"/>
      <c r="C78" s="8" t="n"/>
      <c r="D78" s="8" t="n"/>
      <c r="E78" s="4" t="n"/>
      <c r="F78" s="4" t="n"/>
      <c r="G78" s="4" t="n"/>
      <c r="H78" s="5" t="n"/>
      <c r="I78" s="4" t="n"/>
      <c r="J78" s="8" t="n"/>
    </row>
    <row r="79">
      <c r="A79" s="4" t="n"/>
      <c r="B79" s="8" t="n"/>
      <c r="C79" s="8" t="n"/>
      <c r="D79" s="8" t="n"/>
      <c r="E79" s="4" t="n"/>
      <c r="F79" s="4" t="n"/>
      <c r="G79" s="4" t="n"/>
      <c r="H79" s="5" t="n"/>
      <c r="I79" s="4" t="n"/>
      <c r="J79" s="8" t="n"/>
    </row>
    <row r="80">
      <c r="A80" s="4" t="n"/>
      <c r="B80" s="8" t="n"/>
      <c r="C80" s="8" t="n"/>
      <c r="D80" s="8" t="n"/>
      <c r="E80" s="4" t="n"/>
      <c r="F80" s="4" t="n"/>
      <c r="G80" s="4" t="n"/>
      <c r="H80" s="5" t="n"/>
      <c r="I80" s="4" t="n"/>
      <c r="J80" s="8" t="n"/>
    </row>
    <row r="81">
      <c r="A81" s="4" t="n"/>
      <c r="B81" s="8" t="n"/>
      <c r="C81" s="8" t="n"/>
      <c r="D81" s="8" t="n"/>
      <c r="E81" s="4" t="n"/>
      <c r="F81" s="4" t="n"/>
      <c r="G81" s="4" t="n"/>
      <c r="H81" s="5" t="n"/>
      <c r="I81" s="4" t="n"/>
      <c r="J81" s="8" t="n"/>
    </row>
    <row r="82">
      <c r="A82" s="4" t="n"/>
      <c r="B82" s="8" t="n"/>
      <c r="C82" s="8" t="n"/>
      <c r="D82" s="8" t="n"/>
      <c r="E82" s="4" t="n"/>
      <c r="F82" s="4" t="n"/>
      <c r="G82" s="4" t="n"/>
      <c r="H82" s="5" t="n"/>
      <c r="I82" s="4" t="n"/>
      <c r="J82" s="8" t="n"/>
    </row>
    <row r="83">
      <c r="A83" s="4" t="n"/>
      <c r="B83" s="8" t="n"/>
      <c r="C83" s="8" t="n"/>
      <c r="D83" s="8" t="n"/>
      <c r="E83" s="4" t="n"/>
      <c r="F83" s="4" t="n"/>
      <c r="G83" s="4" t="n"/>
      <c r="H83" s="5" t="n"/>
      <c r="I83" s="4" t="n"/>
      <c r="J83" s="8" t="n"/>
    </row>
    <row r="84">
      <c r="A84" s="4" t="n"/>
      <c r="B84" s="8" t="n"/>
      <c r="C84" s="8" t="n"/>
      <c r="D84" s="8" t="n"/>
      <c r="E84" s="4" t="n"/>
      <c r="F84" s="4" t="n"/>
      <c r="G84" s="4" t="n"/>
      <c r="H84" s="5" t="n"/>
      <c r="I84" s="4" t="n"/>
      <c r="J84" s="8" t="n"/>
    </row>
    <row r="85">
      <c r="A85" s="4" t="n"/>
      <c r="B85" s="8" t="n"/>
      <c r="C85" s="8" t="n"/>
      <c r="D85" s="8" t="n"/>
      <c r="E85" s="4" t="n"/>
      <c r="F85" s="4" t="n"/>
      <c r="G85" s="4" t="n"/>
      <c r="H85" s="5" t="n"/>
      <c r="I85" s="4" t="n"/>
      <c r="J85" s="8" t="n"/>
    </row>
    <row r="86">
      <c r="A86" s="4" t="n"/>
      <c r="B86" s="8" t="n"/>
      <c r="C86" s="8" t="n"/>
      <c r="D86" s="8" t="n"/>
      <c r="E86" s="4" t="n"/>
      <c r="F86" s="4" t="n"/>
      <c r="G86" s="4" t="n"/>
      <c r="H86" s="5" t="n"/>
      <c r="I86" s="4" t="n"/>
      <c r="J86" s="8" t="n"/>
    </row>
    <row r="87">
      <c r="A87" s="4" t="n"/>
      <c r="B87" s="8" t="n"/>
      <c r="C87" s="8" t="n"/>
      <c r="D87" s="8" t="n"/>
      <c r="E87" s="4" t="n"/>
      <c r="F87" s="4" t="n"/>
      <c r="G87" s="4" t="n"/>
      <c r="H87" s="5" t="n"/>
      <c r="I87" s="4" t="n"/>
      <c r="J87" s="8" t="n"/>
    </row>
    <row r="88">
      <c r="A88" s="4" t="n"/>
      <c r="B88" s="8" t="n"/>
      <c r="C88" s="8" t="n"/>
      <c r="D88" s="8" t="n"/>
      <c r="E88" s="4" t="n"/>
      <c r="F88" s="4" t="n"/>
      <c r="G88" s="4" t="n"/>
      <c r="H88" s="5" t="n"/>
      <c r="I88" s="4" t="n"/>
      <c r="J88" s="8" t="n"/>
    </row>
    <row r="89">
      <c r="A89" s="4" t="n"/>
      <c r="B89" s="8" t="n"/>
      <c r="C89" s="8" t="n"/>
      <c r="D89" s="8" t="n"/>
      <c r="E89" s="4" t="n"/>
      <c r="F89" s="4" t="n"/>
      <c r="G89" s="4" t="n"/>
      <c r="H89" s="5" t="n"/>
      <c r="I89" s="4" t="n"/>
      <c r="J89" s="8" t="n"/>
    </row>
    <row r="90">
      <c r="A90" s="4" t="n"/>
      <c r="B90" s="8" t="n"/>
      <c r="C90" s="8" t="n"/>
      <c r="D90" s="8" t="n"/>
      <c r="E90" s="4" t="n"/>
      <c r="F90" s="4" t="n"/>
      <c r="G90" s="4" t="n"/>
      <c r="H90" s="5" t="n"/>
      <c r="I90" s="4" t="n"/>
      <c r="J90" s="8" t="n"/>
    </row>
    <row r="91">
      <c r="A91" s="4" t="n"/>
      <c r="B91" s="8" t="n"/>
      <c r="C91" s="8" t="n"/>
      <c r="D91" s="8" t="n"/>
      <c r="E91" s="4" t="n"/>
      <c r="F91" s="4" t="n"/>
      <c r="G91" s="4" t="n"/>
      <c r="H91" s="5" t="n"/>
      <c r="I91" s="4" t="n"/>
      <c r="J91" s="8" t="n"/>
    </row>
    <row r="92">
      <c r="A92" s="4" t="n"/>
      <c r="B92" s="8" t="n"/>
      <c r="C92" s="8" t="n"/>
      <c r="D92" s="8" t="n"/>
      <c r="E92" s="4" t="n"/>
      <c r="F92" s="4" t="n"/>
      <c r="G92" s="4" t="n"/>
      <c r="H92" s="5" t="n"/>
      <c r="I92" s="4" t="n"/>
      <c r="J92" s="8" t="n"/>
    </row>
    <row r="93">
      <c r="A93" s="4" t="n"/>
      <c r="B93" s="8" t="n"/>
      <c r="C93" s="8" t="n"/>
      <c r="D93" s="8" t="n"/>
      <c r="E93" s="4" t="n"/>
      <c r="F93" s="4" t="n"/>
      <c r="G93" s="4" t="n"/>
      <c r="H93" s="5" t="n"/>
      <c r="I93" s="4" t="n"/>
      <c r="J93" s="8" t="n"/>
    </row>
    <row r="94">
      <c r="A94" s="4" t="n"/>
      <c r="B94" s="8" t="n"/>
      <c r="C94" s="8" t="n"/>
      <c r="D94" s="8" t="n"/>
      <c r="E94" s="4" t="n"/>
      <c r="F94" s="4" t="n"/>
      <c r="G94" s="4" t="n"/>
      <c r="H94" s="5" t="n"/>
      <c r="I94" s="4" t="n"/>
      <c r="J94" s="8" t="n"/>
    </row>
    <row r="95">
      <c r="A95" s="4" t="n"/>
      <c r="B95" s="8" t="n"/>
      <c r="C95" s="8" t="n"/>
      <c r="D95" s="8" t="n"/>
      <c r="E95" s="4" t="n"/>
      <c r="F95" s="4" t="n"/>
      <c r="G95" s="4" t="n"/>
      <c r="H95" s="5" t="n"/>
      <c r="I95" s="4" t="n"/>
      <c r="J95" s="8" t="n"/>
    </row>
    <row r="96">
      <c r="A96" s="4" t="n"/>
      <c r="B96" s="8" t="n"/>
      <c r="C96" s="8" t="n"/>
      <c r="D96" s="8" t="n"/>
      <c r="E96" s="4" t="n"/>
      <c r="F96" s="4" t="n"/>
      <c r="G96" s="4" t="n"/>
      <c r="H96" s="5" t="n"/>
      <c r="I96" s="4" t="n"/>
      <c r="J96" s="8" t="n"/>
    </row>
    <row r="97">
      <c r="A97" s="4" t="n"/>
      <c r="B97" s="8" t="n"/>
      <c r="C97" s="8" t="n"/>
      <c r="D97" s="8" t="n"/>
      <c r="E97" s="4" t="n"/>
      <c r="F97" s="4" t="n"/>
      <c r="G97" s="4" t="n"/>
      <c r="H97" s="5" t="n"/>
      <c r="I97" s="4" t="n"/>
      <c r="J97" s="8" t="n"/>
    </row>
    <row r="98">
      <c r="A98" s="4" t="n"/>
      <c r="B98" s="8" t="n"/>
      <c r="C98" s="8" t="n"/>
      <c r="D98" s="8" t="n"/>
      <c r="E98" s="4" t="n"/>
      <c r="F98" s="4" t="n"/>
      <c r="G98" s="4" t="n"/>
      <c r="H98" s="5" t="n"/>
      <c r="I98" s="4" t="n"/>
      <c r="J98" s="8" t="n"/>
    </row>
    <row r="99">
      <c r="A99" s="4" t="n"/>
      <c r="B99" s="8" t="n"/>
      <c r="C99" s="8" t="n"/>
      <c r="D99" s="8" t="n"/>
      <c r="E99" s="4" t="n"/>
      <c r="F99" s="4" t="n"/>
      <c r="G99" s="4" t="n"/>
      <c r="H99" s="5" t="n"/>
      <c r="I99" s="4" t="n"/>
      <c r="J99" s="8" t="n"/>
    </row>
    <row r="100">
      <c r="A100" s="4" t="n"/>
      <c r="B100" s="8" t="n"/>
      <c r="C100" s="8" t="n"/>
      <c r="D100" s="8" t="n"/>
      <c r="E100" s="4" t="n"/>
      <c r="F100" s="4" t="n"/>
      <c r="G100" s="4" t="n"/>
      <c r="H100" s="5" t="n"/>
      <c r="I100" s="4" t="n"/>
      <c r="J100" s="8" t="n"/>
    </row>
    <row r="101">
      <c r="A101" s="4" t="n"/>
      <c r="B101" s="8" t="n"/>
      <c r="C101" s="8" t="n"/>
      <c r="D101" s="8" t="n"/>
      <c r="E101" s="4" t="n"/>
      <c r="F101" s="4" t="n"/>
      <c r="G101" s="4" t="n"/>
      <c r="H101" s="5" t="n"/>
      <c r="I101" s="4" t="n"/>
      <c r="J101" s="8" t="n"/>
    </row>
    <row r="102">
      <c r="A102" s="4" t="n"/>
      <c r="B102" s="8" t="n"/>
      <c r="C102" s="8" t="n"/>
      <c r="D102" s="8" t="n"/>
      <c r="E102" s="4" t="n"/>
      <c r="F102" s="4" t="n"/>
      <c r="G102" s="4" t="n"/>
      <c r="H102" s="5" t="n"/>
      <c r="I102" s="4" t="n"/>
      <c r="J102" s="8" t="n"/>
    </row>
    <row r="103">
      <c r="A103" s="4" t="n"/>
      <c r="B103" s="8" t="n"/>
      <c r="C103" s="8" t="n"/>
      <c r="D103" s="8" t="n"/>
      <c r="E103" s="4" t="n"/>
      <c r="F103" s="4" t="n"/>
      <c r="G103" s="4" t="n"/>
      <c r="H103" s="5" t="n"/>
      <c r="I103" s="4" t="n"/>
      <c r="J103" s="8" t="n"/>
    </row>
    <row r="104">
      <c r="A104" s="4" t="n"/>
      <c r="B104" s="8" t="n"/>
      <c r="C104" s="8" t="n"/>
      <c r="D104" s="8" t="n"/>
      <c r="E104" s="4" t="n"/>
      <c r="F104" s="4" t="n"/>
      <c r="G104" s="4" t="n"/>
      <c r="H104" s="5" t="n"/>
      <c r="I104" s="4" t="n"/>
      <c r="J104" s="8" t="n"/>
    </row>
    <row r="105">
      <c r="A105" s="4" t="n"/>
      <c r="B105" s="8" t="n"/>
      <c r="C105" s="8" t="n"/>
      <c r="D105" s="8" t="n"/>
      <c r="E105" s="4" t="n"/>
      <c r="F105" s="4" t="n"/>
      <c r="G105" s="4" t="n"/>
      <c r="H105" s="5" t="n"/>
      <c r="I105" s="4" t="n"/>
      <c r="J105" s="8" t="n"/>
    </row>
    <row r="106">
      <c r="A106" s="4" t="n"/>
      <c r="B106" s="8" t="n"/>
      <c r="C106" s="8" t="n"/>
      <c r="D106" s="8" t="n"/>
      <c r="E106" s="4" t="n"/>
      <c r="F106" s="4" t="n"/>
      <c r="G106" s="4" t="n"/>
      <c r="H106" s="5" t="n"/>
      <c r="I106" s="4" t="n"/>
      <c r="J106" s="8" t="n"/>
    </row>
    <row r="107">
      <c r="A107" s="4" t="n"/>
      <c r="B107" s="8" t="n"/>
      <c r="C107" s="8" t="n"/>
      <c r="D107" s="8" t="n"/>
      <c r="E107" s="4" t="n"/>
      <c r="F107" s="4" t="n"/>
      <c r="G107" s="4" t="n"/>
      <c r="H107" s="5" t="n"/>
      <c r="I107" s="4" t="n"/>
      <c r="J107" s="8" t="n"/>
    </row>
    <row r="108">
      <c r="A108" s="4" t="n"/>
      <c r="B108" s="8" t="n"/>
      <c r="C108" s="8" t="n"/>
      <c r="D108" s="8" t="n"/>
      <c r="E108" s="4" t="n"/>
      <c r="F108" s="4" t="n"/>
      <c r="G108" s="4" t="n"/>
      <c r="H108" s="5" t="n"/>
      <c r="I108" s="4" t="n"/>
      <c r="J108" s="8" t="n"/>
    </row>
    <row r="109">
      <c r="A109" s="4" t="n"/>
      <c r="B109" s="8" t="n"/>
      <c r="C109" s="8" t="n"/>
      <c r="D109" s="8" t="n"/>
      <c r="E109" s="4" t="n"/>
      <c r="F109" s="4" t="n"/>
      <c r="G109" s="4" t="n"/>
      <c r="H109" s="5" t="n"/>
      <c r="I109" s="4" t="n"/>
      <c r="J109" s="8" t="n"/>
    </row>
    <row r="110">
      <c r="A110" s="4" t="n"/>
      <c r="B110" s="8" t="n"/>
      <c r="C110" s="8" t="n"/>
      <c r="D110" s="8" t="n"/>
      <c r="E110" s="4" t="n"/>
      <c r="F110" s="4" t="n"/>
      <c r="G110" s="4" t="n"/>
      <c r="H110" s="5" t="n"/>
      <c r="I110" s="4" t="n"/>
      <c r="J110" s="8" t="n"/>
    </row>
    <row r="111">
      <c r="A111" s="4" t="n"/>
      <c r="B111" s="8" t="n"/>
      <c r="C111" s="8" t="n"/>
      <c r="D111" s="8" t="n"/>
      <c r="E111" s="4" t="n"/>
      <c r="F111" s="4" t="n"/>
      <c r="G111" s="4" t="n"/>
      <c r="H111" s="5" t="n"/>
      <c r="I111" s="4" t="n"/>
      <c r="J111" s="8" t="n"/>
    </row>
    <row r="112">
      <c r="A112" s="4" t="n"/>
      <c r="B112" s="8" t="n"/>
      <c r="C112" s="8" t="n"/>
      <c r="D112" s="8" t="n"/>
      <c r="E112" s="4" t="n"/>
      <c r="F112" s="4" t="n"/>
      <c r="G112" s="4" t="n"/>
      <c r="H112" s="5" t="n"/>
      <c r="I112" s="4" t="n"/>
      <c r="J112" s="8" t="n"/>
    </row>
    <row r="113">
      <c r="A113" s="4" t="n"/>
      <c r="B113" s="8" t="n"/>
      <c r="C113" s="8" t="n"/>
      <c r="D113" s="8" t="n"/>
      <c r="E113" s="4" t="n"/>
      <c r="F113" s="4" t="n"/>
      <c r="G113" s="4" t="n"/>
      <c r="H113" s="5" t="n"/>
      <c r="I113" s="4" t="n"/>
      <c r="J113" s="8" t="n"/>
    </row>
    <row r="114">
      <c r="A114" s="4" t="n"/>
      <c r="B114" s="8" t="n"/>
      <c r="C114" s="8" t="n"/>
      <c r="D114" s="8" t="n"/>
      <c r="E114" s="4" t="n"/>
      <c r="F114" s="4" t="n"/>
      <c r="G114" s="4" t="n"/>
      <c r="H114" s="5" t="n"/>
      <c r="I114" s="4" t="n"/>
      <c r="J114" s="8" t="n"/>
    </row>
    <row r="115">
      <c r="A115" s="4" t="n"/>
      <c r="B115" s="8" t="n"/>
      <c r="C115" s="8" t="n"/>
      <c r="D115" s="8" t="n"/>
      <c r="E115" s="4" t="n"/>
      <c r="F115" s="4" t="n"/>
      <c r="G115" s="4" t="n"/>
      <c r="H115" s="5" t="n"/>
      <c r="I115" s="4" t="n"/>
      <c r="J115" s="8" t="n"/>
    </row>
    <row r="116">
      <c r="A116" s="4" t="n"/>
      <c r="B116" s="8" t="n"/>
      <c r="C116" s="8" t="n"/>
      <c r="D116" s="8" t="n"/>
      <c r="E116" s="4" t="n"/>
      <c r="F116" s="4" t="n"/>
      <c r="G116" s="4" t="n"/>
      <c r="H116" s="5" t="n"/>
      <c r="I116" s="4" t="n"/>
      <c r="J116" s="8" t="n"/>
    </row>
    <row r="117">
      <c r="A117" s="4" t="n"/>
      <c r="B117" s="8" t="n"/>
      <c r="C117" s="8" t="n"/>
      <c r="D117" s="8" t="n"/>
      <c r="E117" s="4" t="n"/>
      <c r="F117" s="4" t="n"/>
      <c r="G117" s="4" t="n"/>
      <c r="H117" s="5" t="n"/>
      <c r="I117" s="4" t="n"/>
      <c r="J117" s="8" t="n"/>
    </row>
    <row r="118">
      <c r="A118" s="4" t="n"/>
      <c r="B118" s="8" t="n"/>
      <c r="C118" s="8" t="n"/>
      <c r="D118" s="8" t="n"/>
      <c r="E118" s="4" t="n"/>
      <c r="F118" s="4" t="n"/>
      <c r="G118" s="4" t="n"/>
      <c r="H118" s="5" t="n"/>
      <c r="I118" s="4" t="n"/>
      <c r="J118" s="8" t="n"/>
    </row>
    <row r="119">
      <c r="A119" s="4" t="n"/>
      <c r="B119" s="8" t="n"/>
      <c r="C119" s="8" t="n"/>
      <c r="D119" s="8" t="n"/>
      <c r="E119" s="4" t="n"/>
      <c r="F119" s="4" t="n"/>
      <c r="G119" s="4" t="n"/>
      <c r="H119" s="5" t="n"/>
      <c r="I119" s="4" t="n"/>
      <c r="J119" s="8" t="n"/>
    </row>
  </sheetData>
  <conditionalFormatting sqref="F5:F119">
    <cfRule type="expression" priority="1" dxfId="0">
      <formula>$F5="Fail"</formula>
    </cfRule>
    <cfRule type="expression" priority="2" dxfId="1">
      <formula>$F5="Pass"</formula>
    </cfRule>
    <cfRule type="expression" priority="3" dxfId="2">
      <formula>$F5="Blocked"</formula>
    </cfRule>
  </conditionalFormatting>
  <dataValidations count="2">
    <dataValidation sqref="F5:F119" showDropDown="0" showInputMessage="0" showErrorMessage="1" allowBlank="1" type="list">
      <formula1>=Lists!$J$2:$J$5</formula1>
    </dataValidation>
    <dataValidation sqref="G5:G119" showDropDown="0" showInputMessage="0" showErrorMessage="1" allowBlank="1" type="list">
      <formula1>=Lists!$K$2:$K$6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70" customWidth="1" min="3" max="3"/>
    <col width="18" customWidth="1" min="4" max="4"/>
    <col width="40" customWidth="1" min="5" max="5"/>
  </cols>
  <sheetData>
    <row r="1">
      <c r="A1" s="1" t="inlineStr">
        <is>
          <t>Links</t>
        </is>
      </c>
    </row>
    <row r="2">
      <c r="A2" s="2" t="inlineStr">
        <is>
          <t>GitHub links need repo access (ask Atilla). Stripe, YouTube Studio and the Hetzner server are Atilla-only.</t>
        </is>
      </c>
    </row>
    <row r="4" ht="32" customHeight="1">
      <c r="A4" s="3" t="inlineStr">
        <is>
          <t>Category</t>
        </is>
      </c>
      <c r="B4" s="3" t="inlineStr">
        <is>
          <t>Name</t>
        </is>
      </c>
      <c r="C4" s="3" t="inlineStr">
        <is>
          <t>URL / path</t>
        </is>
      </c>
      <c r="D4" s="3" t="inlineStr">
        <is>
          <t>Who uses it</t>
        </is>
      </c>
      <c r="E4" s="3" t="inlineStr">
        <is>
          <t>Notes</t>
        </is>
      </c>
    </row>
    <row r="5">
      <c r="A5" s="4" t="inlineStr">
        <is>
          <t>Plan</t>
        </is>
      </c>
      <c r="B5" s="4" t="inlineStr">
        <is>
          <t>Turkey gameplan</t>
        </is>
      </c>
      <c r="C5" s="15" t="inlineStr">
        <is>
          <t>https://github.com/bloodyteeths/kolayxport_supa/blob/main/docs/gtm/turkey-gameplan.md</t>
        </is>
      </c>
      <c r="D5" s="4" t="inlineStr">
        <is>
          <t>Everyone</t>
        </is>
      </c>
      <c r="E5" s="8" t="inlineStr">
        <is>
          <t>Phase 1/2, weekly targets, templates (§4.5)</t>
        </is>
      </c>
    </row>
    <row r="6">
      <c r="A6" s="4" t="inlineStr">
        <is>
          <t>Plan</t>
        </is>
      </c>
      <c r="B6" s="4" t="inlineStr">
        <is>
          <t>Pricing v2 (proposal)</t>
        </is>
      </c>
      <c r="C6" s="15" t="inlineStr">
        <is>
          <t>https://github.com/bloodyteeths/kolayxport_supa/blob/main/docs/gtm/pricing-v2.md</t>
        </is>
      </c>
      <c r="D6" s="4" t="inlineStr">
        <is>
          <t>Atilla</t>
        </is>
      </c>
      <c r="E6" s="8" t="inlineStr"/>
    </row>
    <row r="7">
      <c r="A7" s="4" t="inlineStr">
        <is>
          <t>Plan</t>
        </is>
      </c>
      <c r="B7" s="4" t="inlineStr">
        <is>
          <t>Referral build spec</t>
        </is>
      </c>
      <c r="C7" s="15" t="inlineStr">
        <is>
          <t>https://github.com/bloodyteeths/kolayxport_supa/blob/main/docs/gtm/referral-spec.md</t>
        </is>
      </c>
      <c r="D7" s="4" t="inlineStr">
        <is>
          <t>Claude d7</t>
        </is>
      </c>
      <c r="E7" s="8" t="inlineStr"/>
    </row>
    <row r="8">
      <c r="A8" s="4" t="inlineStr">
        <is>
          <t>Plan</t>
        </is>
      </c>
      <c r="B8" s="4" t="inlineStr">
        <is>
          <t>GTM handbook (marketing README)</t>
        </is>
      </c>
      <c r="C8" s="15" t="inlineStr">
        <is>
          <t>https://github.com/bloodyteeths/kolayxport_supa/blob/main/docs/gtm/README.md</t>
        </is>
      </c>
      <c r="D8" s="4" t="inlineStr">
        <is>
          <t>Merisa, Ekin</t>
        </is>
      </c>
      <c r="E8" s="8" t="inlineStr">
        <is>
          <t>Claims rules, weekly routine</t>
        </is>
      </c>
    </row>
    <row r="9">
      <c r="A9" s="4" t="inlineStr">
        <is>
          <t>Plan</t>
        </is>
      </c>
      <c r="B9" s="4" t="inlineStr">
        <is>
          <t>Feature inventory (only source for claims)</t>
        </is>
      </c>
      <c r="C9" s="15" t="inlineStr">
        <is>
          <t>https://github.com/bloodyteeths/kolayxport_supa/blob/main/docs/gtm/feature-inventory.md</t>
        </is>
      </c>
      <c r="D9" s="4" t="inlineStr">
        <is>
          <t>Merisa, Ekin</t>
        </is>
      </c>
      <c r="E9" s="8" t="inlineStr">
        <is>
          <t>§4 = never claim</t>
        </is>
      </c>
    </row>
    <row r="10">
      <c r="A10" s="4" t="inlineStr">
        <is>
          <t>Templates</t>
        </is>
      </c>
      <c r="B10" s="4" t="inlineStr">
        <is>
          <t>Outreach messages (Varyant 1–4 + follow-ups)</t>
        </is>
      </c>
      <c r="C10" s="15" t="inlineStr">
        <is>
          <t>https://github.com/bloodyteeths/kolayxport_supa/blob/main/docs/gtm/social/outreach-messages.md</t>
        </is>
      </c>
      <c r="D10" s="4" t="inlineStr">
        <is>
          <t>Merisa, Ekin</t>
        </is>
      </c>
      <c r="E10" s="8" t="inlineStr">
        <is>
          <t>Partner Varyant 5/6 are in gameplan §4.5</t>
        </is>
      </c>
    </row>
    <row r="11">
      <c r="A11" s="4" t="inlineStr">
        <is>
          <t>Templates</t>
        </is>
      </c>
      <c r="B11" s="4" t="inlineStr">
        <is>
          <t>Social kit + claims cheat sheet</t>
        </is>
      </c>
      <c r="C11" s="15" t="inlineStr">
        <is>
          <t>https://github.com/bloodyteeths/kolayxport_supa/blob/main/docs/gtm/social/README.md</t>
        </is>
      </c>
      <c r="D11" s="4" t="inlineStr">
        <is>
          <t>Merisa, Ekin</t>
        </is>
      </c>
      <c r="E11" s="8" t="inlineStr"/>
    </row>
    <row r="12">
      <c r="A12" s="4" t="inlineStr">
        <is>
          <t>Templates</t>
        </is>
      </c>
      <c r="B12" s="4" t="inlineStr">
        <is>
          <t>30-day social calendar</t>
        </is>
      </c>
      <c r="C12" s="15" t="inlineStr">
        <is>
          <t>https://github.com/bloodyteeths/kolayxport_supa/blob/main/docs/gtm/social/calendar-30d.md</t>
        </is>
      </c>
      <c r="D12" s="4" t="inlineStr">
        <is>
          <t>Ekin</t>
        </is>
      </c>
      <c r="E12" s="8" t="inlineStr">
        <is>
          <t>Phase 2 Instagram</t>
        </is>
      </c>
    </row>
    <row r="13">
      <c r="A13" s="4" t="inlineStr">
        <is>
          <t>Templates</t>
        </is>
      </c>
      <c r="B13" s="4" t="inlineStr">
        <is>
          <t>Ads playbook</t>
        </is>
      </c>
      <c r="C13" s="15" t="inlineStr">
        <is>
          <t>https://github.com/bloodyteeths/kolayxport_supa/blob/main/docs/gtm/social/ads-playbook.md</t>
        </is>
      </c>
      <c r="D13" s="4" t="inlineStr">
        <is>
          <t>Merisa</t>
        </is>
      </c>
      <c r="E13" s="8" t="inlineStr">
        <is>
          <t>Phase 2 only</t>
        </is>
      </c>
    </row>
    <row r="14">
      <c r="A14" s="4" t="inlineStr">
        <is>
          <t>Templates</t>
        </is>
      </c>
      <c r="B14" s="4" t="inlineStr">
        <is>
          <t>Legal notes (İYS, #işbirliği, KVKK)</t>
        </is>
      </c>
      <c r="C14" s="15" t="inlineStr">
        <is>
          <t>https://github.com/bloodyteeths/kolayxport_supa/blob/main/docs/gtm/social/legal-notes.md</t>
        </is>
      </c>
      <c r="D14" s="4" t="inlineStr">
        <is>
          <t>Merisa, Ekin</t>
        </is>
      </c>
      <c r="E14" s="8" t="inlineStr"/>
    </row>
    <row r="15">
      <c r="A15" s="4" t="inlineStr">
        <is>
          <t>Templates</t>
        </is>
      </c>
      <c r="B15" s="4" t="inlineStr">
        <is>
          <t>Communities list</t>
        </is>
      </c>
      <c r="C15" s="15" t="inlineStr">
        <is>
          <t>https://github.com/bloodyteeths/kolayxport_supa/blob/main/docs/gtm/social/communities.csv</t>
        </is>
      </c>
      <c r="D15" s="4" t="inlineStr">
        <is>
          <t>Merisa, Ekin</t>
        </is>
      </c>
      <c r="E15" s="8" t="inlineStr"/>
    </row>
    <row r="16">
      <c r="A16" s="4" t="inlineStr">
        <is>
          <t>Templates</t>
        </is>
      </c>
      <c r="B16" s="4" t="inlineStr">
        <is>
          <t>Blog content calendar</t>
        </is>
      </c>
      <c r="C16" s="15" t="inlineStr">
        <is>
          <t>https://github.com/bloodyteeths/kolayxport_supa/blob/main/docs/gtm/seo/content-calendar.md</t>
        </is>
      </c>
      <c r="D16" s="4" t="inlineStr">
        <is>
          <t>Merisa</t>
        </is>
      </c>
      <c r="E16" s="8" t="inlineStr"/>
    </row>
    <row r="17">
      <c r="A17" s="4" t="inlineStr">
        <is>
          <t>App</t>
        </is>
      </c>
      <c r="B17" s="4" t="inlineStr">
        <is>
          <t>Admin: partners report</t>
        </is>
      </c>
      <c r="C17" s="15" t="inlineStr">
        <is>
          <t>https://kolayxport.com/admin/partners</t>
        </is>
      </c>
      <c r="D17" s="4" t="inlineStr">
        <is>
          <t>Atilla, Merisa (admin role)</t>
        </is>
      </c>
      <c r="E17" s="8" t="inlineStr">
        <is>
          <t>Signups / activated / paying per partner</t>
        </is>
      </c>
    </row>
    <row r="18">
      <c r="A18" s="4" t="inlineStr">
        <is>
          <t>App</t>
        </is>
      </c>
      <c r="B18" s="4" t="inlineStr">
        <is>
          <t>Partner dashboard (after Stage B)</t>
        </is>
      </c>
      <c r="C18" s="15" t="inlineStr">
        <is>
          <t>https://kolayxport.com/app/ortaklik</t>
        </is>
      </c>
      <c r="D18" s="4" t="inlineStr">
        <is>
          <t>Partners</t>
        </is>
      </c>
      <c r="E18" s="8" t="inlineStr"/>
    </row>
    <row r="19">
      <c r="A19" s="4" t="inlineStr">
        <is>
          <t>App</t>
        </is>
      </c>
      <c r="B19" s="4" t="inlineStr">
        <is>
          <t>Pricing page</t>
        </is>
      </c>
      <c r="C19" s="15" t="inlineStr">
        <is>
          <t>https://kolayxport.com/fiyatlandirma</t>
        </is>
      </c>
      <c r="D19" s="4" t="inlineStr">
        <is>
          <t>Everyone</t>
        </is>
      </c>
      <c r="E19" s="8" t="inlineStr"/>
    </row>
    <row r="20">
      <c r="A20" s="4" t="inlineStr">
        <is>
          <t>App</t>
        </is>
      </c>
      <c r="B20" s="4" t="inlineStr">
        <is>
          <t>Signup</t>
        </is>
      </c>
      <c r="C20" s="15" t="inlineStr">
        <is>
          <t>https://kolayxport.com/login?mode=signup</t>
        </is>
      </c>
      <c r="D20" s="4" t="inlineStr">
        <is>
          <t>Everyone</t>
        </is>
      </c>
      <c r="E20" s="8" t="inlineStr"/>
    </row>
    <row r="21">
      <c r="A21" s="4" t="inlineStr">
        <is>
          <t>App</t>
        </is>
      </c>
      <c r="B21" s="4" t="inlineStr">
        <is>
          <t>Use-case pages (ad/partner landing)</t>
        </is>
      </c>
      <c r="C21" s="15" t="inlineStr">
        <is>
          <t>https://kolayxport.com/cozumler</t>
        </is>
      </c>
      <c r="D21" s="4" t="inlineStr">
        <is>
          <t>Merisa, Ekin</t>
        </is>
      </c>
      <c r="E21" s="8" t="inlineStr">
        <is>
          <t>etsy-satici, ebay-satici, ai-ilan-optimizasyonu, mikro-ihracat-kargo-etgb, trendyoldan-dunyaya, urun-arastirma-arbitraj</t>
        </is>
      </c>
    </row>
    <row r="22">
      <c r="A22" s="4" t="inlineStr">
        <is>
          <t>App</t>
        </is>
      </c>
      <c r="B22" s="4" t="inlineStr">
        <is>
          <t>How-to guides</t>
        </is>
      </c>
      <c r="C22" s="15" t="inlineStr">
        <is>
          <t>https://kolayxport.com/nasil-kullanirim</t>
        </is>
      </c>
      <c r="D22" s="4" t="inlineStr">
        <is>
          <t>Everyone</t>
        </is>
      </c>
      <c r="E22" s="8" t="inlineStr"/>
    </row>
    <row r="23">
      <c r="A23" s="4" t="inlineStr">
        <is>
          <t>App</t>
        </is>
      </c>
      <c r="B23" s="4" t="inlineStr">
        <is>
          <t>Health check</t>
        </is>
      </c>
      <c r="C23" s="15" t="inlineStr">
        <is>
          <t>https://kolayxport.com/api/health</t>
        </is>
      </c>
      <c r="D23" s="4" t="inlineStr">
        <is>
          <t>Atilla</t>
        </is>
      </c>
      <c r="E23" s="8" t="inlineStr"/>
    </row>
    <row r="24">
      <c r="A24" s="4" t="inlineStr">
        <is>
          <t>External</t>
        </is>
      </c>
      <c r="B24" s="4" t="inlineStr">
        <is>
          <t>Chrome extension (Web Store)</t>
        </is>
      </c>
      <c r="C24" s="15" t="inlineStr">
        <is>
          <t>https://chromewebstore.google.com/detail/fjlfihofjojemlofkfejikgdbjemncba</t>
        </is>
      </c>
      <c r="D24" s="4" t="inlineStr">
        <is>
          <t>Everyone</t>
        </is>
      </c>
      <c r="E24" s="8" t="inlineStr"/>
    </row>
    <row r="25">
      <c r="A25" s="4" t="inlineStr">
        <is>
          <t>External</t>
        </is>
      </c>
      <c r="B25" s="4" t="inlineStr">
        <is>
          <t>Extension promo video</t>
        </is>
      </c>
      <c r="C25" s="15" t="inlineStr">
        <is>
          <t>https://youtu.be/RtHJlVkvAqg</t>
        </is>
      </c>
      <c r="D25" s="4" t="inlineStr">
        <is>
          <t>Merisa, Ekin</t>
        </is>
      </c>
      <c r="E25" s="8" t="inlineStr"/>
    </row>
    <row r="26">
      <c r="A26" s="4" t="inlineStr">
        <is>
          <t>External</t>
        </is>
      </c>
      <c r="B26" s="4" t="inlineStr">
        <is>
          <t>YouTube Studio</t>
        </is>
      </c>
      <c r="C26" s="15" t="inlineStr">
        <is>
          <t>https://studio.youtube.com</t>
        </is>
      </c>
      <c r="D26" s="4" t="inlineStr">
        <is>
          <t>Atilla</t>
        </is>
      </c>
      <c r="E26" s="8" t="inlineStr"/>
    </row>
    <row r="27">
      <c r="A27" s="4" t="inlineStr">
        <is>
          <t>External</t>
        </is>
      </c>
      <c r="B27" s="4" t="inlineStr">
        <is>
          <t>Stripe dashboard (Tamsar, Inc.)</t>
        </is>
      </c>
      <c r="C27" s="15" t="inlineStr">
        <is>
          <t>https://dashboard.stripe.com</t>
        </is>
      </c>
      <c r="D27" s="4" t="inlineStr">
        <is>
          <t>Atilla</t>
        </is>
      </c>
      <c r="E27" s="8" t="inlineStr">
        <is>
          <t>Coupons, promo codes, Global Payouts</t>
        </is>
      </c>
    </row>
    <row r="28">
      <c r="A28" s="4" t="inlineStr">
        <is>
          <t>External</t>
        </is>
      </c>
      <c r="B28" s="4" t="inlineStr">
        <is>
          <t>Reklam Kurulu influencer guide (send to partners)</t>
        </is>
      </c>
      <c r="C28" s="15" t="inlineStr">
        <is>
          <t>https://ticaret.gov.tr/haberler/ticaret-bakanligi-sosyal-medya-etkileyicileri-icin-kilavuz-yayimladi</t>
        </is>
      </c>
      <c r="D28" s="4" t="inlineStr">
        <is>
          <t>Merisa, Ekin</t>
        </is>
      </c>
      <c r="E28" s="8" t="inlineStr"/>
    </row>
    <row r="29">
      <c r="A29" s="4" t="inlineStr">
        <is>
          <t>External</t>
        </is>
      </c>
      <c r="B29" s="4" t="inlineStr">
        <is>
          <t>Bionluk (freelancers)</t>
        </is>
      </c>
      <c r="C29" s="15" t="inlineStr">
        <is>
          <t>https://bionluk.com</t>
        </is>
      </c>
      <c r="D29" s="4" t="inlineStr">
        <is>
          <t>Merisa</t>
        </is>
      </c>
      <c r="E29" s="8" t="inlineStr"/>
    </row>
    <row r="30">
      <c r="A30" s="4" t="inlineStr">
        <is>
          <t>External</t>
        </is>
      </c>
      <c r="B30" s="4" t="inlineStr">
        <is>
          <t>PraPazar packages (pricing reference)</t>
        </is>
      </c>
      <c r="C30" s="15" t="inlineStr">
        <is>
          <t>https://prapazar.com/tr/paketler</t>
        </is>
      </c>
      <c r="D30" s="4" t="inlineStr">
        <is>
          <t>Atilla</t>
        </is>
      </c>
      <c r="E30" s="8" t="inlineStr">
        <is>
          <t>Checked 2026-10-19</t>
        </is>
      </c>
    </row>
    <row r="31">
      <c r="A31" s="4" t="n"/>
      <c r="B31" s="4" t="n"/>
      <c r="C31" s="4" t="n"/>
      <c r="D31" s="4" t="n"/>
      <c r="E31" s="8" t="n"/>
    </row>
    <row r="32">
      <c r="A32" s="4" t="n"/>
      <c r="B32" s="4" t="n"/>
      <c r="C32" s="4" t="n"/>
      <c r="D32" s="4" t="n"/>
      <c r="E32" s="8" t="n"/>
    </row>
    <row r="33">
      <c r="A33" s="4" t="n"/>
      <c r="B33" s="4" t="n"/>
      <c r="C33" s="4" t="n"/>
      <c r="D33" s="4" t="n"/>
      <c r="E33" s="8" t="n"/>
    </row>
    <row r="34">
      <c r="A34" s="4" t="n"/>
      <c r="B34" s="4" t="n"/>
      <c r="C34" s="4" t="n"/>
      <c r="D34" s="4" t="n"/>
      <c r="E34" s="8" t="n"/>
    </row>
    <row r="35">
      <c r="A35" s="4" t="n"/>
      <c r="B35" s="4" t="n"/>
      <c r="C35" s="4" t="n"/>
      <c r="D35" s="4" t="n"/>
      <c r="E35" s="8" t="n"/>
    </row>
    <row r="36">
      <c r="A36" s="4" t="n"/>
      <c r="B36" s="4" t="n"/>
      <c r="C36" s="4" t="n"/>
      <c r="D36" s="4" t="n"/>
      <c r="E36" s="8" t="n"/>
    </row>
    <row r="37">
      <c r="A37" s="4" t="n"/>
      <c r="B37" s="4" t="n"/>
      <c r="C37" s="4" t="n"/>
      <c r="D37" s="4" t="n"/>
      <c r="E37" s="8" t="n"/>
    </row>
    <row r="38">
      <c r="A38" s="4" t="n"/>
      <c r="B38" s="4" t="n"/>
      <c r="C38" s="4" t="n"/>
      <c r="D38" s="4" t="n"/>
      <c r="E38" s="8" t="n"/>
    </row>
    <row r="39">
      <c r="A39" s="4" t="n"/>
      <c r="B39" s="4" t="n"/>
      <c r="C39" s="4" t="n"/>
      <c r="D39" s="4" t="n"/>
      <c r="E39" s="8" t="n"/>
    </row>
    <row r="40">
      <c r="A40" s="4" t="n"/>
      <c r="B40" s="4" t="n"/>
      <c r="C40" s="4" t="n"/>
      <c r="D40" s="4" t="n"/>
      <c r="E40" s="8" t="n"/>
    </row>
    <row r="41">
      <c r="A41" s="4" t="n"/>
      <c r="B41" s="4" t="n"/>
      <c r="C41" s="4" t="n"/>
      <c r="D41" s="4" t="n"/>
      <c r="E41" s="8" t="n"/>
    </row>
    <row r="42">
      <c r="A42" s="4" t="n"/>
      <c r="B42" s="4" t="n"/>
      <c r="C42" s="4" t="n"/>
      <c r="D42" s="4" t="n"/>
      <c r="E42" s="8" t="n"/>
    </row>
    <row r="43">
      <c r="A43" s="4" t="n"/>
      <c r="B43" s="4" t="n"/>
      <c r="C43" s="4" t="n"/>
      <c r="D43" s="4" t="n"/>
      <c r="E43" s="8" t="n"/>
    </row>
    <row r="44">
      <c r="A44" s="4" t="n"/>
      <c r="B44" s="4" t="n"/>
      <c r="C44" s="4" t="n"/>
      <c r="D44" s="4" t="n"/>
      <c r="E44" s="8" t="n"/>
    </row>
    <row r="45">
      <c r="A45" s="4" t="n"/>
      <c r="B45" s="4" t="n"/>
      <c r="C45" s="4" t="n"/>
      <c r="D45" s="4" t="n"/>
      <c r="E45" s="8" t="n"/>
    </row>
    <row r="46">
      <c r="A46" s="4" t="n"/>
      <c r="B46" s="4" t="n"/>
      <c r="C46" s="4" t="n"/>
      <c r="D46" s="4" t="n"/>
      <c r="E46" s="8" t="n"/>
    </row>
    <row r="47">
      <c r="A47" s="4" t="n"/>
      <c r="B47" s="4" t="n"/>
      <c r="C47" s="4" t="n"/>
      <c r="D47" s="4" t="n"/>
      <c r="E47" s="8" t="n"/>
    </row>
    <row r="48">
      <c r="A48" s="4" t="n"/>
      <c r="B48" s="4" t="n"/>
      <c r="C48" s="4" t="n"/>
      <c r="D48" s="4" t="n"/>
      <c r="E48" s="8" t="n"/>
    </row>
    <row r="49">
      <c r="A49" s="4" t="n"/>
      <c r="B49" s="4" t="n"/>
      <c r="C49" s="4" t="n"/>
      <c r="D49" s="4" t="n"/>
      <c r="E49" s="8" t="n"/>
    </row>
    <row r="50">
      <c r="A50" s="4" t="n"/>
      <c r="B50" s="4" t="n"/>
      <c r="C50" s="4" t="n"/>
      <c r="D50" s="4" t="n"/>
      <c r="E50" s="8" t="n"/>
    </row>
    <row r="51">
      <c r="A51" s="4" t="n"/>
      <c r="B51" s="4" t="n"/>
      <c r="C51" s="4" t="n"/>
      <c r="D51" s="4" t="n"/>
      <c r="E51" s="8" t="n"/>
    </row>
    <row r="52">
      <c r="A52" s="4" t="n"/>
      <c r="B52" s="4" t="n"/>
      <c r="C52" s="4" t="n"/>
      <c r="D52" s="4" t="n"/>
      <c r="E52" s="8" t="n"/>
    </row>
    <row r="53">
      <c r="A53" s="4" t="n"/>
      <c r="B53" s="4" t="n"/>
      <c r="C53" s="4" t="n"/>
      <c r="D53" s="4" t="n"/>
      <c r="E53" s="8" t="n"/>
    </row>
    <row r="54">
      <c r="A54" s="4" t="n"/>
      <c r="B54" s="4" t="n"/>
      <c r="C54" s="4" t="n"/>
      <c r="D54" s="4" t="n"/>
      <c r="E54" s="8" t="n"/>
    </row>
    <row r="55">
      <c r="A55" s="4" t="n"/>
      <c r="B55" s="4" t="n"/>
      <c r="C55" s="4" t="n"/>
      <c r="D55" s="4" t="n"/>
      <c r="E55" s="8" t="n"/>
    </row>
    <row r="56">
      <c r="A56" s="4" t="n"/>
      <c r="B56" s="4" t="n"/>
      <c r="C56" s="4" t="n"/>
      <c r="D56" s="4" t="n"/>
      <c r="E56" s="8" t="n"/>
    </row>
    <row r="57">
      <c r="A57" s="4" t="n"/>
      <c r="B57" s="4" t="n"/>
      <c r="C57" s="4" t="n"/>
      <c r="D57" s="4" t="n"/>
      <c r="E57" s="8" t="n"/>
    </row>
    <row r="58">
      <c r="A58" s="4" t="n"/>
      <c r="B58" s="4" t="n"/>
      <c r="C58" s="4" t="n"/>
      <c r="D58" s="4" t="n"/>
      <c r="E58" s="8" t="n"/>
    </row>
    <row r="59">
      <c r="A59" s="4" t="n"/>
      <c r="B59" s="4" t="n"/>
      <c r="C59" s="4" t="n"/>
      <c r="D59" s="4" t="n"/>
      <c r="E59" s="8" t="n"/>
    </row>
    <row r="60">
      <c r="A60" s="4" t="n"/>
      <c r="B60" s="4" t="n"/>
      <c r="C60" s="4" t="n"/>
      <c r="D60" s="4" t="n"/>
      <c r="E60" s="8" t="n"/>
    </row>
    <row r="61">
      <c r="A61" s="4" t="n"/>
      <c r="B61" s="4" t="n"/>
      <c r="C61" s="4" t="n"/>
      <c r="D61" s="4" t="n"/>
      <c r="E61" s="8" t="n"/>
    </row>
  </sheetData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18" customWidth="1" min="3" max="3"/>
    <col width="40" customWidth="1" min="4" max="4"/>
    <col width="40" customWidth="1" min="5" max="5"/>
  </cols>
  <sheetData>
    <row r="1">
      <c r="A1" s="1" t="inlineStr">
        <is>
          <t>Decisions log</t>
        </is>
      </c>
    </row>
    <row r="2">
      <c r="A2" s="2" t="inlineStr">
        <is>
          <t>Append only: new decisions at the bottom, never edit old rows (add a new row that supersedes them).</t>
        </is>
      </c>
    </row>
    <row r="4" ht="32" customHeight="1">
      <c r="A4" s="3" t="inlineStr">
        <is>
          <t>Date</t>
        </is>
      </c>
      <c r="B4" s="3" t="inlineStr">
        <is>
          <t>Decision</t>
        </is>
      </c>
      <c r="C4" s="3" t="inlineStr">
        <is>
          <t>Decided by</t>
        </is>
      </c>
      <c r="D4" s="3" t="inlineStr">
        <is>
          <t>Source</t>
        </is>
      </c>
      <c r="E4" s="3" t="inlineStr">
        <is>
          <t>Supersedes / notes</t>
        </is>
      </c>
    </row>
    <row r="5">
      <c r="A5" s="5" t="n">
        <v>46309</v>
      </c>
      <c r="B5" s="8" t="inlineStr">
        <is>
          <t>Prices Starter ₺2.499 / Growth ₺4.999 / Pro ₺7.999 a month, 14-day no-card trial, founding 40% off for life for the first 20</t>
        </is>
      </c>
      <c r="C5" s="4" t="inlineStr">
        <is>
          <t>Atilla</t>
        </is>
      </c>
      <c r="D5" s="8" t="inlineStr">
        <is>
          <t>memory: pricing strategy</t>
        </is>
      </c>
      <c r="E5" s="8" t="inlineStr">
        <is>
          <t>Superseded by pricing v2 (2026-10-19) for Turkey</t>
        </is>
      </c>
    </row>
    <row r="6">
      <c r="A6" s="5" t="n">
        <v>46312</v>
      </c>
      <c r="B6" s="8" t="inlineStr">
        <is>
          <t>Positioning A + C: 'Yurt dışına satışın tek paneli' + 'Trendyol'dan dünyaya' track; domestic features only as supporting proof</t>
        </is>
      </c>
      <c r="C6" s="4" t="inlineStr">
        <is>
          <t>Atilla</t>
        </is>
      </c>
      <c r="D6" s="8" t="inlineStr">
        <is>
          <t>docs/gtm/positioning.md</t>
        </is>
      </c>
      <c r="E6" s="8" t="inlineStr"/>
    </row>
    <row r="7">
      <c r="A7" s="5" t="n">
        <v>46314</v>
      </c>
      <c r="B7" s="8" t="inlineStr">
        <is>
          <t>No free tier: entry is the 14-day trial + founding offer</t>
        </is>
      </c>
      <c r="C7" s="4" t="inlineStr">
        <is>
          <t>Atilla</t>
        </is>
      </c>
      <c r="D7" s="8" t="inlineStr">
        <is>
          <t>turkey-gameplan §0</t>
        </is>
      </c>
      <c r="E7" s="8" t="inlineStr"/>
    </row>
    <row r="8">
      <c r="A8" s="5" t="n">
        <v>46314</v>
      </c>
      <c r="B8" s="8" t="inlineStr">
        <is>
          <t>GTM cash cap ₺25.000/month; no ad spend until 100 activated users (Phase 1 = referral partners)</t>
        </is>
      </c>
      <c r="C8" s="4" t="inlineStr">
        <is>
          <t>Atilla</t>
        </is>
      </c>
      <c r="D8" s="8" t="inlineStr">
        <is>
          <t>turkey-gameplan §0, §4.9</t>
        </is>
      </c>
      <c r="E8" s="8" t="inlineStr"/>
    </row>
    <row r="9">
      <c r="A9" s="5" t="n">
        <v>46314</v>
      </c>
      <c r="B9" s="8" t="inlineStr">
        <is>
          <t>Merisa and Ekin run marketing; Atilla stays out of day-to-day</t>
        </is>
      </c>
      <c r="C9" s="4" t="inlineStr">
        <is>
          <t>Atilla</t>
        </is>
      </c>
      <c r="D9" s="8" t="inlineStr">
        <is>
          <t>orchestrator</t>
        </is>
      </c>
      <c r="E9" s="8" t="inlineStr"/>
    </row>
    <row r="10">
      <c r="A10" s="5" t="n">
        <v>46314</v>
      </c>
      <c r="B10" s="8" t="inlineStr">
        <is>
          <t>Ekin ~15 h/week on KolayXport (30 h split with the Amazon shop)</t>
        </is>
      </c>
      <c r="C10" s="4" t="inlineStr">
        <is>
          <t>Atilla</t>
        </is>
      </c>
      <c r="D10" s="8" t="inlineStr">
        <is>
          <t>orchestrator</t>
        </is>
      </c>
      <c r="E10" s="8" t="inlineStr"/>
    </row>
    <row r="11">
      <c r="A11" s="5" t="n">
        <v>46314</v>
      </c>
      <c r="B11" s="8" t="inlineStr">
        <is>
          <t>Prices shown '+KDV' with the total at checkout</t>
        </is>
      </c>
      <c r="C11" s="4" t="inlineStr">
        <is>
          <t>Orchestrator for Atilla</t>
        </is>
      </c>
      <c r="D11" s="8" t="inlineStr">
        <is>
          <t>turkey-gameplan §0</t>
        </is>
      </c>
      <c r="E11" s="8" t="inlineStr">
        <is>
          <t>Accountant to confirm (pricing-v2 §5)</t>
        </is>
      </c>
    </row>
    <row r="12">
      <c r="A12" s="5" t="n">
        <v>46314</v>
      </c>
      <c r="B12" s="8" t="inlineStr">
        <is>
          <t>Partner code after founding spots: 20% off (first yearly payment / first 3 months of Aylık)</t>
        </is>
      </c>
      <c r="C12" s="4" t="inlineStr">
        <is>
          <t>Orchestrator for Atilla</t>
        </is>
      </c>
      <c r="D12" s="8" t="inlineStr">
        <is>
          <t>turkey-gameplan §2</t>
        </is>
      </c>
      <c r="E12" s="8" t="inlineStr"/>
    </row>
    <row r="13">
      <c r="A13" s="5" t="n">
        <v>46314</v>
      </c>
      <c r="B13" s="8" t="inlineStr">
        <is>
          <t>Pricing v2 model: yearly packages main offer, ONE monthly plan (Aylık) + modules; iyzico/PayTR for taksit</t>
        </is>
      </c>
      <c r="C13" s="4" t="inlineStr">
        <is>
          <t>Atilla</t>
        </is>
      </c>
      <c r="D13" s="8" t="inlineStr">
        <is>
          <t>docs/gtm/pricing-v2.md</t>
        </is>
      </c>
      <c r="E13" s="8" t="inlineStr">
        <is>
          <t>Numbers still a proposal (T05)</t>
        </is>
      </c>
    </row>
    <row r="14">
      <c r="A14" s="5" t="n">
        <v>46314</v>
      </c>
      <c r="B14" s="8" t="inlineStr">
        <is>
          <t>Partner bounty one-time: 25% of the first yearly payment (30% from the 10th paying referral); ₺1.500 for Aylık after the 2nd payment</t>
        </is>
      </c>
      <c r="C14" s="4" t="inlineStr">
        <is>
          <t>Atilla</t>
        </is>
      </c>
      <c r="D14" s="8" t="inlineStr">
        <is>
          <t>turkey-gameplan §4.2</t>
        </is>
      </c>
      <c r="E14" s="8" t="inlineStr">
        <is>
          <t>Supersedes 30% recurring for 12 months (same day)</t>
        </is>
      </c>
    </row>
    <row r="15">
      <c r="A15" s="5" t="n">
        <v>46314</v>
      </c>
      <c r="B15" s="8" t="inlineStr">
        <is>
          <t>Partner dashboard in the app with masked referrals; payouts via Stripe Global Payouts</t>
        </is>
      </c>
      <c r="C15" s="4" t="inlineStr">
        <is>
          <t>Atilla</t>
        </is>
      </c>
      <c r="D15" s="8" t="inlineStr">
        <is>
          <t>referral-spec §4</t>
        </is>
      </c>
      <c r="E15" s="8" t="inlineStr">
        <is>
          <t>Paying entity depends on accountant (T07)</t>
        </is>
      </c>
    </row>
    <row r="16">
      <c r="A16" s="5" t="n">
        <v>46314</v>
      </c>
      <c r="B16" s="8" t="inlineStr">
        <is>
          <t>Pricing v2 prices CONFIRMED: Başlangıç ₺29.990, Büyüme ₺54.990, Pro ₺89.990, Kurumsal from ₺149.990 a year; Aylık ₺2.999 a month; all +KDV. Module prices still a proposal; partners quote no prices until checkout exists</t>
        </is>
      </c>
      <c r="C16" s="4" t="inlineStr">
        <is>
          <t>Atilla</t>
        </is>
      </c>
      <c r="D16" s="8" t="inlineStr">
        <is>
          <t>command board 19 Oct 19:48 (via orchestrator)</t>
        </is>
      </c>
      <c r="E16" s="8" t="inlineStr">
        <is>
          <t>Seller of record / KDV still with the accountant</t>
        </is>
      </c>
    </row>
    <row r="17">
      <c r="A17" s="5" t="n">
        <v>46314</v>
      </c>
      <c r="B17" s="8" t="inlineStr">
        <is>
          <t>Payments collected by Tamsar, Inc. (US) in TRY under its agreement with Modsons</t>
        </is>
      </c>
      <c r="C17" s="4" t="inlineStr">
        <is>
          <t>Atilla</t>
        </is>
      </c>
      <c r="D17" s="8" t="inlineStr">
        <is>
          <t>pricing-v2 §1</t>
        </is>
      </c>
      <c r="E17" s="8" t="inlineStr">
        <is>
          <t>Proposal: Modsons sells to Turkish customers; open with the accountant</t>
        </is>
      </c>
    </row>
    <row r="18">
      <c r="A18" s="5" t="n">
        <v>46314</v>
      </c>
      <c r="B18" s="8" t="inlineStr">
        <is>
          <t>Cookie panel is live (since 2026-10-17); only tracking IDs gate Phase 2 measurement</t>
        </is>
      </c>
      <c r="C18" s="4" t="inlineStr">
        <is>
          <t>gtm-overhaul (verified)</t>
        </is>
      </c>
      <c r="D18" s="8" t="inlineStr">
        <is>
          <t>turkey-gameplan §4.9</t>
        </is>
      </c>
      <c r="E18" s="8" t="inlineStr"/>
    </row>
    <row r="19">
      <c r="A19" s="5" t="n"/>
      <c r="B19" s="8" t="n"/>
      <c r="C19" s="4" t="n"/>
      <c r="D19" s="8" t="n"/>
      <c r="E19" s="8" t="n"/>
    </row>
    <row r="20">
      <c r="A20" s="5" t="n"/>
      <c r="B20" s="8" t="n"/>
      <c r="C20" s="4" t="n"/>
      <c r="D20" s="8" t="n"/>
      <c r="E20" s="8" t="n"/>
    </row>
    <row r="21">
      <c r="A21" s="5" t="n"/>
      <c r="B21" s="8" t="n"/>
      <c r="C21" s="4" t="n"/>
      <c r="D21" s="8" t="n"/>
      <c r="E21" s="8" t="n"/>
    </row>
    <row r="22">
      <c r="A22" s="5" t="n"/>
      <c r="B22" s="8" t="n"/>
      <c r="C22" s="4" t="n"/>
      <c r="D22" s="8" t="n"/>
      <c r="E22" s="8" t="n"/>
    </row>
    <row r="23">
      <c r="A23" s="5" t="n"/>
      <c r="B23" s="8" t="n"/>
      <c r="C23" s="4" t="n"/>
      <c r="D23" s="8" t="n"/>
      <c r="E23" s="8" t="n"/>
    </row>
    <row r="24">
      <c r="A24" s="5" t="n"/>
      <c r="B24" s="8" t="n"/>
      <c r="C24" s="4" t="n"/>
      <c r="D24" s="8" t="n"/>
      <c r="E24" s="8" t="n"/>
    </row>
    <row r="25">
      <c r="A25" s="5" t="n"/>
      <c r="B25" s="8" t="n"/>
      <c r="C25" s="4" t="n"/>
      <c r="D25" s="8" t="n"/>
      <c r="E25" s="8" t="n"/>
    </row>
    <row r="26">
      <c r="A26" s="5" t="n"/>
      <c r="B26" s="8" t="n"/>
      <c r="C26" s="4" t="n"/>
      <c r="D26" s="8" t="n"/>
      <c r="E26" s="8" t="n"/>
    </row>
    <row r="27">
      <c r="A27" s="5" t="n"/>
      <c r="B27" s="8" t="n"/>
      <c r="C27" s="4" t="n"/>
      <c r="D27" s="8" t="n"/>
      <c r="E27" s="8" t="n"/>
    </row>
    <row r="28">
      <c r="A28" s="5" t="n"/>
      <c r="B28" s="8" t="n"/>
      <c r="C28" s="4" t="n"/>
      <c r="D28" s="8" t="n"/>
      <c r="E28" s="8" t="n"/>
    </row>
    <row r="29">
      <c r="A29" s="5" t="n"/>
      <c r="B29" s="8" t="n"/>
      <c r="C29" s="4" t="n"/>
      <c r="D29" s="8" t="n"/>
      <c r="E29" s="8" t="n"/>
    </row>
    <row r="30">
      <c r="A30" s="5" t="n"/>
      <c r="B30" s="8" t="n"/>
      <c r="C30" s="4" t="n"/>
      <c r="D30" s="8" t="n"/>
      <c r="E30" s="8" t="n"/>
    </row>
    <row r="31">
      <c r="A31" s="5" t="n"/>
      <c r="B31" s="8" t="n"/>
      <c r="C31" s="4" t="n"/>
      <c r="D31" s="8" t="n"/>
      <c r="E31" s="8" t="n"/>
    </row>
    <row r="32">
      <c r="A32" s="5" t="n"/>
      <c r="B32" s="8" t="n"/>
      <c r="C32" s="4" t="n"/>
      <c r="D32" s="8" t="n"/>
      <c r="E32" s="8" t="n"/>
    </row>
    <row r="33">
      <c r="A33" s="5" t="n"/>
      <c r="B33" s="8" t="n"/>
      <c r="C33" s="4" t="n"/>
      <c r="D33" s="8" t="n"/>
      <c r="E33" s="8" t="n"/>
    </row>
    <row r="34">
      <c r="A34" s="5" t="n"/>
      <c r="B34" s="8" t="n"/>
      <c r="C34" s="4" t="n"/>
      <c r="D34" s="8" t="n"/>
      <c r="E34" s="8" t="n"/>
    </row>
    <row r="35">
      <c r="A35" s="5" t="n"/>
      <c r="B35" s="8" t="n"/>
      <c r="C35" s="4" t="n"/>
      <c r="D35" s="8" t="n"/>
      <c r="E35" s="8" t="n"/>
    </row>
    <row r="36">
      <c r="A36" s="5" t="n"/>
      <c r="B36" s="8" t="n"/>
      <c r="C36" s="4" t="n"/>
      <c r="D36" s="8" t="n"/>
      <c r="E36" s="8" t="n"/>
    </row>
    <row r="37">
      <c r="A37" s="5" t="n"/>
      <c r="B37" s="8" t="n"/>
      <c r="C37" s="4" t="n"/>
      <c r="D37" s="8" t="n"/>
      <c r="E37" s="8" t="n"/>
    </row>
    <row r="38">
      <c r="A38" s="5" t="n"/>
      <c r="B38" s="8" t="n"/>
      <c r="C38" s="4" t="n"/>
      <c r="D38" s="8" t="n"/>
      <c r="E38" s="8" t="n"/>
    </row>
    <row r="39">
      <c r="A39" s="5" t="n"/>
      <c r="B39" s="8" t="n"/>
      <c r="C39" s="4" t="n"/>
      <c r="D39" s="8" t="n"/>
      <c r="E39" s="8" t="n"/>
    </row>
    <row r="40">
      <c r="A40" s="5" t="n"/>
      <c r="B40" s="8" t="n"/>
      <c r="C40" s="4" t="n"/>
      <c r="D40" s="8" t="n"/>
      <c r="E40" s="8" t="n"/>
    </row>
    <row r="41">
      <c r="A41" s="5" t="n"/>
      <c r="B41" s="8" t="n"/>
      <c r="C41" s="4" t="n"/>
      <c r="D41" s="8" t="n"/>
      <c r="E41" s="8" t="n"/>
    </row>
    <row r="42">
      <c r="A42" s="5" t="n"/>
      <c r="B42" s="8" t="n"/>
      <c r="C42" s="4" t="n"/>
      <c r="D42" s="8" t="n"/>
      <c r="E42" s="8" t="n"/>
    </row>
    <row r="43">
      <c r="A43" s="5" t="n"/>
      <c r="B43" s="8" t="n"/>
      <c r="C43" s="4" t="n"/>
      <c r="D43" s="8" t="n"/>
      <c r="E43" s="8" t="n"/>
    </row>
    <row r="44">
      <c r="A44" s="5" t="n"/>
      <c r="B44" s="8" t="n"/>
      <c r="C44" s="4" t="n"/>
      <c r="D44" s="8" t="n"/>
      <c r="E44" s="8" t="n"/>
    </row>
    <row r="45">
      <c r="A45" s="5" t="n"/>
      <c r="B45" s="8" t="n"/>
      <c r="C45" s="4" t="n"/>
      <c r="D45" s="8" t="n"/>
      <c r="E45" s="8" t="n"/>
    </row>
    <row r="46">
      <c r="A46" s="5" t="n"/>
      <c r="B46" s="8" t="n"/>
      <c r="C46" s="4" t="n"/>
      <c r="D46" s="8" t="n"/>
      <c r="E46" s="8" t="n"/>
    </row>
    <row r="47">
      <c r="A47" s="5" t="n"/>
      <c r="B47" s="8" t="n"/>
      <c r="C47" s="4" t="n"/>
      <c r="D47" s="8" t="n"/>
      <c r="E47" s="8" t="n"/>
    </row>
    <row r="48">
      <c r="A48" s="5" t="n"/>
      <c r="B48" s="8" t="n"/>
      <c r="C48" s="4" t="n"/>
      <c r="D48" s="8" t="n"/>
      <c r="E48" s="8" t="n"/>
    </row>
    <row r="49">
      <c r="A49" s="5" t="n"/>
      <c r="B49" s="8" t="n"/>
      <c r="C49" s="4" t="n"/>
      <c r="D49" s="8" t="n"/>
      <c r="E49" s="8" t="n"/>
    </row>
    <row r="50">
      <c r="A50" s="5" t="n"/>
      <c r="B50" s="8" t="n"/>
      <c r="C50" s="4" t="n"/>
      <c r="D50" s="8" t="n"/>
      <c r="E50" s="8" t="n"/>
    </row>
    <row r="51">
      <c r="A51" s="5" t="n"/>
      <c r="B51" s="8" t="n"/>
      <c r="C51" s="4" t="n"/>
      <c r="D51" s="8" t="n"/>
      <c r="E51" s="8" t="n"/>
    </row>
    <row r="52">
      <c r="A52" s="5" t="n"/>
      <c r="B52" s="8" t="n"/>
      <c r="C52" s="4" t="n"/>
      <c r="D52" s="8" t="n"/>
      <c r="E52" s="8" t="n"/>
    </row>
    <row r="53">
      <c r="A53" s="5" t="n"/>
      <c r="B53" s="8" t="n"/>
      <c r="C53" s="4" t="n"/>
      <c r="D53" s="8" t="n"/>
      <c r="E53" s="8" t="n"/>
    </row>
    <row r="54">
      <c r="A54" s="5" t="n"/>
      <c r="B54" s="8" t="n"/>
      <c r="C54" s="4" t="n"/>
      <c r="D54" s="8" t="n"/>
      <c r="E54" s="8" t="n"/>
    </row>
    <row r="55">
      <c r="A55" s="5" t="n"/>
      <c r="B55" s="8" t="n"/>
      <c r="C55" s="4" t="n"/>
      <c r="D55" s="8" t="n"/>
      <c r="E55" s="8" t="n"/>
    </row>
    <row r="56">
      <c r="A56" s="5" t="n"/>
      <c r="B56" s="8" t="n"/>
      <c r="C56" s="4" t="n"/>
      <c r="D56" s="8" t="n"/>
      <c r="E56" s="8" t="n"/>
    </row>
    <row r="57">
      <c r="A57" s="5" t="n"/>
      <c r="B57" s="8" t="n"/>
      <c r="C57" s="4" t="n"/>
      <c r="D57" s="8" t="n"/>
      <c r="E57" s="8" t="n"/>
    </row>
    <row r="58">
      <c r="A58" s="5" t="n"/>
      <c r="B58" s="8" t="n"/>
      <c r="C58" s="4" t="n"/>
      <c r="D58" s="8" t="n"/>
      <c r="E58" s="8" t="n"/>
    </row>
    <row r="59">
      <c r="A59" s="5" t="n"/>
      <c r="B59" s="8" t="n"/>
      <c r="C59" s="4" t="n"/>
      <c r="D59" s="8" t="n"/>
      <c r="E59" s="8" t="n"/>
    </row>
    <row r="60">
      <c r="A60" s="5" t="n"/>
      <c r="B60" s="8" t="n"/>
      <c r="C60" s="4" t="n"/>
      <c r="D60" s="8" t="n"/>
      <c r="E60" s="8" t="n"/>
    </row>
    <row r="61">
      <c r="A61" s="5" t="n"/>
      <c r="B61" s="8" t="n"/>
      <c r="C61" s="4" t="n"/>
      <c r="D61" s="8" t="n"/>
      <c r="E61" s="8" t="n"/>
    </row>
    <row r="62">
      <c r="A62" s="5" t="n"/>
      <c r="B62" s="8" t="n"/>
      <c r="C62" s="4" t="n"/>
      <c r="D62" s="8" t="n"/>
      <c r="E62" s="8" t="n"/>
    </row>
    <row r="63">
      <c r="A63" s="5" t="n"/>
      <c r="B63" s="8" t="n"/>
      <c r="C63" s="4" t="n"/>
      <c r="D63" s="8" t="n"/>
      <c r="E63" s="8" t="n"/>
    </row>
    <row r="64">
      <c r="A64" s="5" t="n"/>
      <c r="B64" s="8" t="n"/>
      <c r="C64" s="4" t="n"/>
      <c r="D64" s="8" t="n"/>
      <c r="E64" s="8" t="n"/>
    </row>
    <row r="65">
      <c r="A65" s="5" t="n"/>
      <c r="B65" s="8" t="n"/>
      <c r="C65" s="4" t="n"/>
      <c r="D65" s="8" t="n"/>
      <c r="E65" s="8" t="n"/>
    </row>
    <row r="66">
      <c r="A66" s="5" t="n"/>
      <c r="B66" s="8" t="n"/>
      <c r="C66" s="4" t="n"/>
      <c r="D66" s="8" t="n"/>
      <c r="E66" s="8" t="n"/>
    </row>
    <row r="67">
      <c r="A67" s="5" t="n"/>
      <c r="B67" s="8" t="n"/>
      <c r="C67" s="4" t="n"/>
      <c r="D67" s="8" t="n"/>
      <c r="E67" s="8" t="n"/>
    </row>
    <row r="68">
      <c r="A68" s="5" t="n"/>
      <c r="B68" s="8" t="n"/>
      <c r="C68" s="4" t="n"/>
      <c r="D68" s="8" t="n"/>
      <c r="E68" s="8" t="n"/>
    </row>
    <row r="69">
      <c r="A69" s="5" t="n"/>
      <c r="B69" s="8" t="n"/>
      <c r="C69" s="4" t="n"/>
      <c r="D69" s="8" t="n"/>
      <c r="E69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zoomScale="100" workbookViewId="0">
      <selection activeCell="A1" sqref="A1"/>
    </sheetView>
  </sheetViews>
  <sheetFormatPr baseColWidth="8" defaultRowHeight="15"/>
  <sheetData>
    <row r="1">
      <c r="A1" s="9" t="inlineStr">
        <is>
          <t>Owners</t>
        </is>
      </c>
      <c r="B1" s="9" t="inlineStr">
        <is>
          <t>TaskStatus</t>
        </is>
      </c>
      <c r="C1" s="9" t="inlineStr">
        <is>
          <t>Priority</t>
        </is>
      </c>
      <c r="D1" s="9" t="inlineStr">
        <is>
          <t>PartnerType</t>
        </is>
      </c>
      <c r="E1" s="9" t="inlineStr">
        <is>
          <t>Channel</t>
        </is>
      </c>
      <c r="F1" s="9" t="inlineStr">
        <is>
          <t>PartnerStatus</t>
        </is>
      </c>
      <c r="G1" s="9" t="inlineStr">
        <is>
          <t>YesNo</t>
        </is>
      </c>
      <c r="H1" s="9" t="inlineStr">
        <is>
          <t>ContentChannel</t>
        </is>
      </c>
      <c r="I1" s="9" t="inlineStr">
        <is>
          <t>ContentStatus</t>
        </is>
      </c>
      <c r="J1" s="9" t="inlineStr">
        <is>
          <t>TestResult</t>
        </is>
      </c>
      <c r="K1" s="9" t="inlineStr">
        <is>
          <t>Testers</t>
        </is>
      </c>
      <c r="L1" s="9" t="inlineStr">
        <is>
          <t>PartnerOwners</t>
        </is>
      </c>
    </row>
    <row r="2">
      <c r="A2" s="10" t="inlineStr">
        <is>
          <t>Atilla</t>
        </is>
      </c>
      <c r="B2" s="10" t="inlineStr">
        <is>
          <t>Not started</t>
        </is>
      </c>
      <c r="C2" s="10" t="inlineStr">
        <is>
          <t>P0</t>
        </is>
      </c>
      <c r="D2" s="10" t="inlineStr">
        <is>
          <t>fb_admin</t>
        </is>
      </c>
      <c r="E2" s="10" t="inlineStr">
        <is>
          <t>Facebook</t>
        </is>
      </c>
      <c r="F2" s="10" t="inlineStr">
        <is>
          <t>Shortlisted</t>
        </is>
      </c>
      <c r="G2" s="10" t="inlineStr">
        <is>
          <t>Yes</t>
        </is>
      </c>
      <c r="H2" s="10" t="inlineStr">
        <is>
          <t>Blog</t>
        </is>
      </c>
      <c r="I2" s="10" t="inlineStr">
        <is>
          <t>Idea</t>
        </is>
      </c>
      <c r="J2" s="10" t="inlineStr">
        <is>
          <t>Not run</t>
        </is>
      </c>
      <c r="K2" s="10" t="inlineStr">
        <is>
          <t>Merisa</t>
        </is>
      </c>
      <c r="L2" s="10" t="inlineStr">
        <is>
          <t>Merisa</t>
        </is>
      </c>
    </row>
    <row r="3">
      <c r="A3" s="10" t="inlineStr">
        <is>
          <t>Merisa</t>
        </is>
      </c>
      <c r="B3" s="10" t="inlineStr">
        <is>
          <t>In progress</t>
        </is>
      </c>
      <c r="C3" s="10" t="inlineStr">
        <is>
          <t>P1</t>
        </is>
      </c>
      <c r="D3" s="10" t="inlineStr">
        <is>
          <t>tg_admin</t>
        </is>
      </c>
      <c r="E3" s="10" t="inlineStr">
        <is>
          <t>Telegram</t>
        </is>
      </c>
      <c r="F3" s="10" t="inlineStr">
        <is>
          <t>Contacted</t>
        </is>
      </c>
      <c r="G3" s="10" t="inlineStr">
        <is>
          <t>No</t>
        </is>
      </c>
      <c r="H3" s="10" t="inlineStr">
        <is>
          <t>YouTube</t>
        </is>
      </c>
      <c r="I3" s="10" t="inlineStr">
        <is>
          <t>Draft</t>
        </is>
      </c>
      <c r="J3" s="10" t="inlineStr">
        <is>
          <t>Pass</t>
        </is>
      </c>
      <c r="K3" s="10" t="inlineStr">
        <is>
          <t>Ekin</t>
        </is>
      </c>
      <c r="L3" s="10" t="inlineStr">
        <is>
          <t>Ekin</t>
        </is>
      </c>
    </row>
    <row r="4">
      <c r="A4" s="10" t="inlineStr">
        <is>
          <t>Ekin</t>
        </is>
      </c>
      <c r="B4" s="10" t="inlineStr">
        <is>
          <t>Waiting</t>
        </is>
      </c>
      <c r="C4" s="10" t="inlineStr">
        <is>
          <t>P2</t>
        </is>
      </c>
      <c r="D4" s="10" t="inlineStr">
        <is>
          <t>x_voice</t>
        </is>
      </c>
      <c r="E4" s="10" t="inlineStr">
        <is>
          <t>WhatsApp</t>
        </is>
      </c>
      <c r="F4" s="10" t="inlineStr">
        <is>
          <t>Replied</t>
        </is>
      </c>
      <c r="H4" s="10" t="inlineStr">
        <is>
          <t>Shorts/Reels</t>
        </is>
      </c>
      <c r="I4" s="10" t="inlineStr">
        <is>
          <t>In review</t>
        </is>
      </c>
      <c r="J4" s="10" t="inlineStr">
        <is>
          <t>Fail</t>
        </is>
      </c>
      <c r="K4" s="10" t="inlineStr">
        <is>
          <t>Atilla</t>
        </is>
      </c>
    </row>
    <row r="5">
      <c r="A5" s="10" t="inlineStr">
        <is>
          <t>Claude: d7 (dev)</t>
        </is>
      </c>
      <c r="B5" s="10" t="inlineStr">
        <is>
          <t>Blocked</t>
        </is>
      </c>
      <c r="D5" s="10" t="inlineStr">
        <is>
          <t>youtube</t>
        </is>
      </c>
      <c r="E5" s="10" t="inlineStr">
        <is>
          <t>X</t>
        </is>
      </c>
      <c r="F5" s="10" t="inlineStr">
        <is>
          <t>Terms sent</t>
        </is>
      </c>
      <c r="H5" s="10" t="inlineStr">
        <is>
          <t>Instagram</t>
        </is>
      </c>
      <c r="I5" s="10" t="inlineStr">
        <is>
          <t>Scheduled</t>
        </is>
      </c>
      <c r="J5" s="10" t="inlineStr">
        <is>
          <t>Blocked</t>
        </is>
      </c>
      <c r="K5" s="10" t="inlineStr">
        <is>
          <t>Claude: d7 (dev)</t>
        </is>
      </c>
    </row>
    <row r="6">
      <c r="A6" s="10" t="inlineStr">
        <is>
          <t>Claude: gtm-overhaul</t>
        </is>
      </c>
      <c r="B6" s="10" t="inlineStr">
        <is>
          <t>Done</t>
        </is>
      </c>
      <c r="D6" s="10" t="inlineStr">
        <is>
          <t>musavir</t>
        </is>
      </c>
      <c r="E6" s="10" t="inlineStr">
        <is>
          <t>YouTube</t>
        </is>
      </c>
      <c r="F6" s="10" t="inlineStr">
        <is>
          <t>Signed</t>
        </is>
      </c>
      <c r="H6" s="10" t="inlineStr">
        <is>
          <t>X</t>
        </is>
      </c>
      <c r="I6" s="10" t="inlineStr">
        <is>
          <t>Published</t>
        </is>
      </c>
      <c r="K6" s="10" t="inlineStr">
        <is>
          <t>Claude: gtm-overhaul</t>
        </is>
      </c>
    </row>
    <row r="7">
      <c r="A7" s="10" t="inlineStr">
        <is>
          <t>Claude: deploy -50</t>
        </is>
      </c>
      <c r="B7" s="10" t="inlineStr">
        <is>
          <t>Cancelled</t>
        </is>
      </c>
      <c r="D7" s="10" t="inlineStr">
        <is>
          <t>other</t>
        </is>
      </c>
      <c r="E7" s="10" t="inlineStr">
        <is>
          <t>Instagram</t>
        </is>
      </c>
      <c r="F7" s="10" t="inlineStr">
        <is>
          <t>Active</t>
        </is>
      </c>
      <c r="H7" s="10" t="inlineStr">
        <is>
          <t>Facebook</t>
        </is>
      </c>
      <c r="I7" s="10" t="inlineStr">
        <is>
          <t>Cancelled</t>
        </is>
      </c>
    </row>
    <row r="8">
      <c r="A8" s="10" t="inlineStr">
        <is>
          <t>Claude: orchestrator</t>
        </is>
      </c>
      <c r="E8" s="10" t="inlineStr">
        <is>
          <t>Substack</t>
        </is>
      </c>
      <c r="F8" s="10" t="inlineStr">
        <is>
          <t>Declined</t>
        </is>
      </c>
      <c r="H8" s="10" t="inlineStr">
        <is>
          <t>Telegram</t>
        </is>
      </c>
    </row>
    <row r="9">
      <c r="A9" s="10" t="inlineStr">
        <is>
          <t>Claude: to assign</t>
        </is>
      </c>
      <c r="E9" s="10" t="inlineStr">
        <is>
          <t>Forum</t>
        </is>
      </c>
      <c r="F9" s="10" t="inlineStr">
        <is>
          <t>Opted out</t>
        </is>
      </c>
      <c r="H9" s="10" t="inlineStr">
        <is>
          <t>LinkedIn</t>
        </is>
      </c>
    </row>
    <row r="10">
      <c r="A10" s="10" t="inlineStr">
        <is>
          <t>Freelancer</t>
        </is>
      </c>
      <c r="E10" s="10" t="inlineStr">
        <is>
          <t>Other</t>
        </is>
      </c>
      <c r="F10" s="10" t="inlineStr">
        <is>
          <t>Paused</t>
        </is>
      </c>
    </row>
    <row r="11">
      <c r="A11" s="10" t="inlineStr">
        <is>
          <t>Accountant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2026-10-19T17:50:22Z</dcterms:created>
  <dcterms:modified xmlns:dcterms="http://purl.org/dc/terms/" xmlns:xsi="http://www.w3.org/2001/XMLSchema-instance" xsi:type="dcterms:W3CDTF">2026-10-19T17:50:23Z</dcterms:modified>
</cp:coreProperties>
</file>